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46222</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2">
        <f>HYPERLINK("https://klasma.github.io/Logging_0181/artfynd/A 44309-2025 artfynd.xlsx", "A 44309-2025")</f>
        <v/>
      </c>
      <c r="W2">
        <f>HYPERLINK("https://klasma.github.io/Logging_0181/kartor/A 44309-2025 karta.png", "A 44309-2025")</f>
        <v/>
      </c>
      <c r="Y2">
        <f>HYPERLINK("https://klasma.github.io/Logging_0181/klagomål/A 44309-2025 FSC-klagomål.docx", "A 44309-2025")</f>
        <v/>
      </c>
      <c r="Z2">
        <f>HYPERLINK("https://klasma.github.io/Logging_0181/klagomålsmail/A 44309-2025 FSC-klagomål mail.docx", "A 44309-2025")</f>
        <v/>
      </c>
      <c r="AA2">
        <f>HYPERLINK("https://klasma.github.io/Logging_0181/tillsyn/A 44309-2025 tillsynsbegäran.docx", "A 44309-2025")</f>
        <v/>
      </c>
      <c r="AB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46222</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3">
        <f>HYPERLINK("https://klasma.github.io/Logging_0181/artfynd/S 2590-2025 artfynd.xlsx", "S 2590-2025")</f>
        <v/>
      </c>
      <c r="W3">
        <f>HYPERLINK("https://klasma.github.io/Logging_0181/kartor/S 2590-2025 karta.png", "S 2590-2025")</f>
        <v/>
      </c>
      <c r="Y3">
        <f>HYPERLINK("https://klasma.github.io/Logging_0181/klagomål/S 2590-2025 FSC-klagomål.docx", "S 2590-2025")</f>
        <v/>
      </c>
      <c r="Z3">
        <f>HYPERLINK("https://klasma.github.io/Logging_0181/klagomålsmail/S 2590-2025 FSC-klagomål mail.docx", "S 2590-2025")</f>
        <v/>
      </c>
      <c r="AA3">
        <f>HYPERLINK("https://klasma.github.io/Logging_0181/tillsyn/S 2590-2025 tillsynsbegäran.docx", "S 2590-2025")</f>
        <v/>
      </c>
      <c r="AB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46222</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V4">
        <f>HYPERLINK("https://klasma.github.io/Logging_0181/artfynd/S 2348-2025 artfynd.xlsx", "S 2348-2025")</f>
        <v/>
      </c>
      <c r="W4">
        <f>HYPERLINK("https://klasma.github.io/Logging_0181/kartor/S 2348-2025 karta.png", "S 2348-2025")</f>
        <v/>
      </c>
      <c r="Y4">
        <f>HYPERLINK("https://klasma.github.io/Logging_0181/klagomål/S 2348-2025 FSC-klagomål.docx", "S 2348-2025")</f>
        <v/>
      </c>
      <c r="Z4">
        <f>HYPERLINK("https://klasma.github.io/Logging_0181/klagomålsmail/S 2348-2025 FSC-klagomål mail.docx", "S 2348-2025")</f>
        <v/>
      </c>
      <c r="AA4">
        <f>HYPERLINK("https://klasma.github.io/Logging_0181/tillsyn/S 2348-2025 tillsynsbegäran.docx", "S 2348-2025")</f>
        <v/>
      </c>
      <c r="AB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46222</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V5">
        <f>HYPERLINK("https://klasma.github.io/Logging_0181/artfynd/S 1801-2025 artfynd.xlsx", "S 1801-2025")</f>
        <v/>
      </c>
      <c r="W5">
        <f>HYPERLINK("https://klasma.github.io/Logging_0181/kartor/S 1801-2025 karta.png", "S 1801-2025")</f>
        <v/>
      </c>
      <c r="Y5">
        <f>HYPERLINK("https://klasma.github.io/Logging_0181/klagomål/S 1801-2025 FSC-klagomål.docx", "S 1801-2025")</f>
        <v/>
      </c>
      <c r="Z5">
        <f>HYPERLINK("https://klasma.github.io/Logging_0181/klagomålsmail/S 1801-2025 FSC-klagomål mail.docx", "S 1801-2025")</f>
        <v/>
      </c>
      <c r="AA5">
        <f>HYPERLINK("https://klasma.github.io/Logging_0181/tillsyn/S 1801-2025 tillsynsbegäran.docx", "S 1801-2025")</f>
        <v/>
      </c>
      <c r="AB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46222</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V6">
        <f>HYPERLINK("https://klasma.github.io/Logging_0181/artfynd/A 59863-2022 artfynd.xlsx", "A 59863-2022")</f>
        <v/>
      </c>
      <c r="W6">
        <f>HYPERLINK("https://klasma.github.io/Logging_0181/kartor/A 59863-2022 karta.png", "A 59863-2022")</f>
        <v/>
      </c>
      <c r="Y6">
        <f>HYPERLINK("https://klasma.github.io/Logging_0181/klagomål/A 59863-2022 FSC-klagomål.docx", "A 59863-2022")</f>
        <v/>
      </c>
      <c r="Z6">
        <f>HYPERLINK("https://klasma.github.io/Logging_0181/klagomålsmail/A 59863-2022 FSC-klagomål mail.docx", "A 59863-2022")</f>
        <v/>
      </c>
      <c r="AA6">
        <f>HYPERLINK("https://klasma.github.io/Logging_0181/tillsyn/A 59863-2022 tillsynsbegäran.docx", "A 59863-2022")</f>
        <v/>
      </c>
      <c r="AB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46222</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V7">
        <f>HYPERLINK("https://klasma.github.io/Logging_0181/artfynd/A 10943-2026 artfynd.xlsx", "A 10943-2026")</f>
        <v/>
      </c>
      <c r="W7">
        <f>HYPERLINK("https://klasma.github.io/Logging_0181/kartor/A 10943-2026 karta.png", "A 10943-2026")</f>
        <v/>
      </c>
      <c r="Y7">
        <f>HYPERLINK("https://klasma.github.io/Logging_0181/klagomål/A 10943-2026 FSC-klagomål.docx", "A 10943-2026")</f>
        <v/>
      </c>
      <c r="Z7">
        <f>HYPERLINK("https://klasma.github.io/Logging_0181/klagomålsmail/A 10943-2026 FSC-klagomål mail.docx", "A 10943-2026")</f>
        <v/>
      </c>
      <c r="AA7">
        <f>HYPERLINK("https://klasma.github.io/Logging_0181/tillsyn/A 10943-2026 tillsynsbegäran.docx", "A 10943-2026")</f>
        <v/>
      </c>
      <c r="AB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46222</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s="2" t="inlineStr">
        <is>
          <t>Motaggsvamp
Talltaggsvamp
Tallticka
Blåmossa
Flagellkvastmossa
Granbarkgnagare
Grovticka
Grön sköldmossa
Jättesvampmal
Krushättemossa
Skriftlav
Tjäder
Bred kärrtrollslända
Citronfläckad kärrtrollslända
Pudrad kärrtrollslända
Trana</t>
        </is>
      </c>
      <c r="V8">
        <f>HYPERLINK("https://klasma.github.io/Logging_0181/artfynd/A 23846-2026 artfynd.xlsx", "A 23846-2026")</f>
        <v/>
      </c>
      <c r="W8">
        <f>HYPERLINK("https://klasma.github.io/Logging_0181/kartor/A 23846-2026 karta.png", "A 23846-2026")</f>
        <v/>
      </c>
      <c r="Y8">
        <f>HYPERLINK("https://klasma.github.io/Logging_0181/klagomål/A 23846-2026 FSC-klagomål.docx", "A 23846-2026")</f>
        <v/>
      </c>
      <c r="Z8">
        <f>HYPERLINK("https://klasma.github.io/Logging_0181/klagomålsmail/A 23846-2026 FSC-klagomål mail.docx", "A 23846-2026")</f>
        <v/>
      </c>
      <c r="AA8">
        <f>HYPERLINK("https://klasma.github.io/Logging_0181/tillsyn/A 23846-2026 tillsynsbegäran.docx", "A 23846-2026")</f>
        <v/>
      </c>
      <c r="AB8">
        <f>HYPERLINK("https://klasma.github.io/Logging_0181/tillsynsmail/A 23846-2026 tillsynsbegäran mail.docx", "A 23846-2026")</f>
        <v/>
      </c>
      <c r="AC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46222</v>
      </c>
      <c r="F9" t="inlineStr">
        <is>
          <t>STOCKHOLMS LÄN</t>
        </is>
      </c>
      <c r="G9" t="inlineStr">
        <is>
          <t>SÖDERTÄLJE</t>
        </is>
      </c>
      <c r="I9" t="n">
        <v>3.4</v>
      </c>
      <c r="J9" t="n">
        <v>5</v>
      </c>
      <c r="K9" t="n">
        <v>3</v>
      </c>
      <c r="L9" t="n">
        <v>7</v>
      </c>
      <c r="M9" t="n">
        <v>0</v>
      </c>
      <c r="N9" t="n">
        <v>0</v>
      </c>
      <c r="O9" t="n">
        <v>0</v>
      </c>
      <c r="P9" t="n">
        <v>0</v>
      </c>
      <c r="Q9" t="n">
        <v>7</v>
      </c>
      <c r="R9" t="n">
        <v>0</v>
      </c>
      <c r="S9" t="n">
        <v>13</v>
      </c>
      <c r="T9" t="n">
        <v>21</v>
      </c>
      <c r="U9" s="2" t="inlineStr">
        <is>
          <t>Adam och eva
Backtimjan
Entita
Jungfrulin
Månlåsbräken
Slåtterfibbla
Sårläka
Klippfrullania
Lundbräsma
Trädporella
Nattskärra
Ärtsångare
Gullviva</t>
        </is>
      </c>
      <c r="V9">
        <f>HYPERLINK("https://klasma.github.io/Logging_0181/artfynd/S 6558-2021 artfynd.xlsx", "S 6558-2021")</f>
        <v/>
      </c>
      <c r="W9">
        <f>HYPERLINK("https://klasma.github.io/Logging_0181/kartor/S 6558-2021 karta.png", "S 6558-2021")</f>
        <v/>
      </c>
      <c r="Y9">
        <f>HYPERLINK("https://klasma.github.io/Logging_0181/klagomål/S 6558-2021 FSC-klagomål.docx", "S 6558-2021")</f>
        <v/>
      </c>
      <c r="Z9">
        <f>HYPERLINK("https://klasma.github.io/Logging_0181/klagomålsmail/S 6558-2021 FSC-klagomål mail.docx", "S 6558-2021")</f>
        <v/>
      </c>
      <c r="AA9">
        <f>HYPERLINK("https://klasma.github.io/Logging_0181/tillsyn/S 6558-2021 tillsynsbegäran.docx", "S 6558-2021")</f>
        <v/>
      </c>
      <c r="AB9">
        <f>HYPERLINK("https://klasma.github.io/Logging_0181/tillsynsmail/S 6558-2021 tillsynsbegäran mail.docx", "S 6558-2021")</f>
        <v/>
      </c>
      <c r="AC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46222</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s="2" t="inlineStr">
        <is>
          <t>Bombmurkla
Knärot
Dunmossa
Sårläka
Grönpyrola
Mörk husmossa
Nästrot
Blåsippa
Revlummer</t>
        </is>
      </c>
      <c r="V10">
        <f>HYPERLINK("https://klasma.github.io/Logging_0181/artfynd/S 511-2022 artfynd.xlsx", "S 511-2022")</f>
        <v/>
      </c>
      <c r="W10">
        <f>HYPERLINK("https://klasma.github.io/Logging_0181/kartor/S 511-2022 karta.png", "S 511-2022")</f>
        <v/>
      </c>
      <c r="X10">
        <f>HYPERLINK("https://klasma.github.io/Logging_0181/knärot/S 511-2022 karta knärot.png", "S 511-2022")</f>
        <v/>
      </c>
      <c r="Y10">
        <f>HYPERLINK("https://klasma.github.io/Logging_0181/klagomål/S 511-2022 FSC-klagomål.docx", "S 511-2022")</f>
        <v/>
      </c>
      <c r="Z10">
        <f>HYPERLINK("https://klasma.github.io/Logging_0181/klagomålsmail/S 511-2022 FSC-klagomål mail.docx", "S 511-2022")</f>
        <v/>
      </c>
      <c r="AA10">
        <f>HYPERLINK("https://klasma.github.io/Logging_0181/tillsyn/S 511-2022 tillsynsbegäran.docx", "S 511-2022")</f>
        <v/>
      </c>
      <c r="AB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46222</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s="2" t="inlineStr">
        <is>
          <t>Ekticka
Gullpudra
Kortskaftad ärgspik
Rödbrun blekspik
Grön sköldmossa
Guldlockmossa
Kornig nållav
Rostfläck
Vätteros</t>
        </is>
      </c>
      <c r="V11">
        <f>HYPERLINK("https://klasma.github.io/Logging_0181/artfynd/S 5605-2022 artfynd.xlsx", "S 5605-2022")</f>
        <v/>
      </c>
      <c r="W11">
        <f>HYPERLINK("https://klasma.github.io/Logging_0181/kartor/S 5605-2022 karta.png", "S 5605-2022")</f>
        <v/>
      </c>
      <c r="Y11">
        <f>HYPERLINK("https://klasma.github.io/Logging_0181/klagomål/S 5605-2022 FSC-klagomål.docx", "S 5605-2022")</f>
        <v/>
      </c>
      <c r="Z11">
        <f>HYPERLINK("https://klasma.github.io/Logging_0181/klagomålsmail/S 5605-2022 FSC-klagomål mail.docx", "S 5605-2022")</f>
        <v/>
      </c>
      <c r="AA11">
        <f>HYPERLINK("https://klasma.github.io/Logging_0181/tillsyn/S 5605-2022 tillsynsbegäran.docx", "S 5605-2022")</f>
        <v/>
      </c>
      <c r="AB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46222</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s="2" t="inlineStr">
        <is>
          <t>Dvärgbägarlav
Kortskaftad ärgspik
Vedskivlav
Vedtrappmossa
Blodticka
Flagellkvastmossa
Fällmossa
Blåsippa</t>
        </is>
      </c>
      <c r="V12">
        <f>HYPERLINK("https://klasma.github.io/Logging_0181/artfynd/A 35012-2024 artfynd.xlsx", "A 35012-2024")</f>
        <v/>
      </c>
      <c r="W12">
        <f>HYPERLINK("https://klasma.github.io/Logging_0181/kartor/A 35012-2024 karta.png", "A 35012-2024")</f>
        <v/>
      </c>
      <c r="Y12">
        <f>HYPERLINK("https://klasma.github.io/Logging_0181/klagomål/A 35012-2024 FSC-klagomål.docx", "A 35012-2024")</f>
        <v/>
      </c>
      <c r="Z12">
        <f>HYPERLINK("https://klasma.github.io/Logging_0181/klagomålsmail/A 35012-2024 FSC-klagomål mail.docx", "A 35012-2024")</f>
        <v/>
      </c>
      <c r="AA12">
        <f>HYPERLINK("https://klasma.github.io/Logging_0181/tillsyn/A 35012-2024 tillsynsbegäran.docx", "A 35012-2024")</f>
        <v/>
      </c>
      <c r="AB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46222</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s="2" t="inlineStr">
        <is>
          <t>Bombmurkla
Knärot
Dunmossa
Sårläka
Mörk husmossa
Nästrot
Blåsippa
Revlummer</t>
        </is>
      </c>
      <c r="V13">
        <f>HYPERLINK("https://klasma.github.io/Logging_0181/artfynd/A 4384-2022 artfynd.xlsx", "A 4384-2022")</f>
        <v/>
      </c>
      <c r="W13">
        <f>HYPERLINK("https://klasma.github.io/Logging_0181/kartor/A 4384-2022 karta.png", "A 4384-2022")</f>
        <v/>
      </c>
      <c r="X13">
        <f>HYPERLINK("https://klasma.github.io/Logging_0181/knärot/A 4384-2022 karta knärot.png", "A 4384-2022")</f>
        <v/>
      </c>
      <c r="Y13">
        <f>HYPERLINK("https://klasma.github.io/Logging_0181/klagomål/A 4384-2022 FSC-klagomål.docx", "A 4384-2022")</f>
        <v/>
      </c>
      <c r="Z13">
        <f>HYPERLINK("https://klasma.github.io/Logging_0181/klagomålsmail/A 4384-2022 FSC-klagomål mail.docx", "A 4384-2022")</f>
        <v/>
      </c>
      <c r="AA13">
        <f>HYPERLINK("https://klasma.github.io/Logging_0181/tillsyn/A 4384-2022 tillsynsbegäran.docx", "A 4384-2022")</f>
        <v/>
      </c>
      <c r="AB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46222</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s="2" t="inlineStr">
        <is>
          <t>Dvärgbägarlav
Fjällig taggsvamp s.str.
Vedskivlav
Vedtrappmossa
Blåsippa
Spillkråka
Tjäder
Revlummer</t>
        </is>
      </c>
      <c r="V14">
        <f>HYPERLINK("https://klasma.github.io/Logging_0181/artfynd/A 25671-2026 artfynd.xlsx", "A 25671-2026")</f>
        <v/>
      </c>
      <c r="W14">
        <f>HYPERLINK("https://klasma.github.io/Logging_0181/kartor/A 25671-2026 karta.png", "A 25671-2026")</f>
        <v/>
      </c>
      <c r="Y14">
        <f>HYPERLINK("https://klasma.github.io/Logging_0181/klagomål/A 25671-2026 FSC-klagomål.docx", "A 25671-2026")</f>
        <v/>
      </c>
      <c r="Z14">
        <f>HYPERLINK("https://klasma.github.io/Logging_0181/klagomålsmail/A 25671-2026 FSC-klagomål mail.docx", "A 25671-2026")</f>
        <v/>
      </c>
      <c r="AA14">
        <f>HYPERLINK("https://klasma.github.io/Logging_0181/tillsyn/A 25671-2026 tillsynsbegäran.docx", "A 25671-2026")</f>
        <v/>
      </c>
      <c r="AB14">
        <f>HYPERLINK("https://klasma.github.io/Logging_0181/tillsynsmail/A 25671-2026 tillsynsbegäran mail.docx", "A 25671-2026")</f>
        <v/>
      </c>
      <c r="AC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46222</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s="2" t="inlineStr">
        <is>
          <t>Fjällig taggsvamp s.str.
Tallticka
Ullticka
Bronshjon
Trådticka
Vedticka
Vågbandad barkbock</t>
        </is>
      </c>
      <c r="V15">
        <f>HYPERLINK("https://klasma.github.io/Logging_0181/artfynd/S 7591-2021 artfynd.xlsx", "S 7591-2021")</f>
        <v/>
      </c>
      <c r="W15">
        <f>HYPERLINK("https://klasma.github.io/Logging_0181/kartor/S 7591-2021 karta.png", "S 7591-2021")</f>
        <v/>
      </c>
      <c r="Y15">
        <f>HYPERLINK("https://klasma.github.io/Logging_0181/klagomål/S 7591-2021 FSC-klagomål.docx", "S 7591-2021")</f>
        <v/>
      </c>
      <c r="Z15">
        <f>HYPERLINK("https://klasma.github.io/Logging_0181/klagomålsmail/S 7591-2021 FSC-klagomål mail.docx", "S 7591-2021")</f>
        <v/>
      </c>
      <c r="AA15">
        <f>HYPERLINK("https://klasma.github.io/Logging_0181/tillsyn/S 7591-2021 tillsynsbegäran.docx", "S 7591-2021")</f>
        <v/>
      </c>
      <c r="AB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46222</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s="2" t="inlineStr">
        <is>
          <t>Brunlångöra
Nordfladdermus
Dvärgpipistrell
Större brunfladdermus
Trollpipistrell
Vattenfladdermus</t>
        </is>
      </c>
      <c r="V16">
        <f>HYPERLINK("https://klasma.github.io/Logging_0181/artfynd/A 97-2024 artfynd.xlsx", "A 97-2024")</f>
        <v/>
      </c>
      <c r="W16">
        <f>HYPERLINK("https://klasma.github.io/Logging_0181/kartor/A 97-2024 karta.png", "A 97-2024")</f>
        <v/>
      </c>
      <c r="Y16">
        <f>HYPERLINK("https://klasma.github.io/Logging_0181/klagomål/A 97-2024 FSC-klagomål.docx", "A 97-2024")</f>
        <v/>
      </c>
      <c r="Z16">
        <f>HYPERLINK("https://klasma.github.io/Logging_0181/klagomålsmail/A 97-2024 FSC-klagomål mail.docx", "A 97-2024")</f>
        <v/>
      </c>
      <c r="AA16">
        <f>HYPERLINK("https://klasma.github.io/Logging_0181/tillsyn/A 97-2024 tillsynsbegäran.docx", "A 97-2024")</f>
        <v/>
      </c>
      <c r="AB16">
        <f>HYPERLINK("https://klasma.github.io/Logging_0181/tillsynsmail/A 97-2024 tillsynsbegäran mail.docx", "A 97-2024")</f>
        <v/>
      </c>
    </row>
    <row r="17" ht="15" customHeight="1">
      <c r="A17" t="inlineStr">
        <is>
          <t>A 36854-2025</t>
        </is>
      </c>
      <c r="B17" t="inlineStr">
        <is>
          <t>avverkningsanmälan</t>
        </is>
      </c>
      <c r="C17" t="inlineStr">
        <is>
          <t>Föryngringsavverkning</t>
        </is>
      </c>
      <c r="D17" s="1" t="n">
        <v>45874</v>
      </c>
      <c r="E17" s="1" t="n">
        <v>46222</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s="2" t="inlineStr">
        <is>
          <t>Orange taggsvamp
Rödgul trumpetsvamp
Mattlummer
Spillkråka
Fläcknycklar
Revlummer</t>
        </is>
      </c>
      <c r="V17">
        <f>HYPERLINK("https://klasma.github.io/Logging_0181/artfynd/A 36854-2025 artfynd.xlsx", "A 36854-2025")</f>
        <v/>
      </c>
      <c r="W17">
        <f>HYPERLINK("https://klasma.github.io/Logging_0181/kartor/A 36854-2025 karta.png", "A 36854-2025")</f>
        <v/>
      </c>
      <c r="Y17">
        <f>HYPERLINK("https://klasma.github.io/Logging_0181/klagomål/A 36854-2025 FSC-klagomål.docx", "A 36854-2025")</f>
        <v/>
      </c>
      <c r="Z17">
        <f>HYPERLINK("https://klasma.github.io/Logging_0181/klagomålsmail/A 36854-2025 FSC-klagomål mail.docx", "A 36854-2025")</f>
        <v/>
      </c>
      <c r="AA17">
        <f>HYPERLINK("https://klasma.github.io/Logging_0181/tillsyn/A 36854-2025 tillsynsbegäran.docx", "A 36854-2025")</f>
        <v/>
      </c>
      <c r="AB17">
        <f>HYPERLINK("https://klasma.github.io/Logging_0181/tillsynsmail/A 36854-2025 tillsynsbegäran mail.docx", "A 36854-2025")</f>
        <v/>
      </c>
      <c r="AC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46222</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s="2" t="inlineStr">
        <is>
          <t>Ullticka
Grön sköldmossa
Grönpyrola
Jättesvampmal
Trådticka
Blåsippa</t>
        </is>
      </c>
      <c r="V18">
        <f>HYPERLINK("https://klasma.github.io/Logging_0181/artfynd/A 57411-2025 artfynd.xlsx", "A 57411-2025")</f>
        <v/>
      </c>
      <c r="W18">
        <f>HYPERLINK("https://klasma.github.io/Logging_0181/kartor/A 57411-2025 karta.png", "A 57411-2025")</f>
        <v/>
      </c>
      <c r="Y18">
        <f>HYPERLINK("https://klasma.github.io/Logging_0181/klagomål/A 57411-2025 FSC-klagomål.docx", "A 57411-2025")</f>
        <v/>
      </c>
      <c r="Z18">
        <f>HYPERLINK("https://klasma.github.io/Logging_0181/klagomålsmail/A 57411-2025 FSC-klagomål mail.docx", "A 57411-2025")</f>
        <v/>
      </c>
      <c r="AA18">
        <f>HYPERLINK("https://klasma.github.io/Logging_0181/tillsyn/A 57411-2025 tillsynsbegäran.docx", "A 57411-2025")</f>
        <v/>
      </c>
      <c r="AB18">
        <f>HYPERLINK("https://klasma.github.io/Logging_0181/tillsynsmail/A 57411-2025 tillsynsbegäran mail.docx", "A 57411-2025")</f>
        <v/>
      </c>
    </row>
    <row r="19" ht="15" customHeight="1">
      <c r="A19" t="inlineStr">
        <is>
          <t>A 23357-2026</t>
        </is>
      </c>
      <c r="B19" t="inlineStr">
        <is>
          <t>avverkningsanmälan</t>
        </is>
      </c>
      <c r="C19" t="inlineStr">
        <is>
          <t>Föryngringsavverkning</t>
        </is>
      </c>
      <c r="D19" s="1" t="n">
        <v>46162</v>
      </c>
      <c r="E19" s="1" t="n">
        <v>46222</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s="2" t="inlineStr">
        <is>
          <t>Dvärgslinke
Spädslinke
Bred kärrtrollslända
Citronfläckad kärrtrollslända
Pudrad kärrtrollslända
Trana</t>
        </is>
      </c>
      <c r="V19">
        <f>HYPERLINK("https://klasma.github.io/Logging_0181/artfynd/A 23357-2026 artfynd.xlsx", "A 23357-2026")</f>
        <v/>
      </c>
      <c r="W19">
        <f>HYPERLINK("https://klasma.github.io/Logging_0181/kartor/A 23357-2026 karta.png", "A 23357-2026")</f>
        <v/>
      </c>
      <c r="Y19">
        <f>HYPERLINK("https://klasma.github.io/Logging_0181/klagomål/A 23357-2026 FSC-klagomål.docx", "A 23357-2026")</f>
        <v/>
      </c>
      <c r="Z19">
        <f>HYPERLINK("https://klasma.github.io/Logging_0181/klagomålsmail/A 23357-2026 FSC-klagomål mail.docx", "A 23357-2026")</f>
        <v/>
      </c>
      <c r="AA19">
        <f>HYPERLINK("https://klasma.github.io/Logging_0181/tillsyn/A 23357-2026 tillsynsbegäran.docx", "A 23357-2026")</f>
        <v/>
      </c>
      <c r="AB19">
        <f>HYPERLINK("https://klasma.github.io/Logging_0181/tillsynsmail/A 23357-2026 tillsynsbegäran mail.docx", "A 23357-2026")</f>
        <v/>
      </c>
      <c r="AC19">
        <f>HYPERLINK("https://klasma.github.io/Logging_0181/fåglar/A 23357-2026 prioriterade fågelarter.docx", "A 23357-2026")</f>
        <v/>
      </c>
    </row>
    <row r="20" ht="15" customHeight="1">
      <c r="A20" t="inlineStr">
        <is>
          <t>A 35937-2023</t>
        </is>
      </c>
      <c r="B20" t="inlineStr">
        <is>
          <t>avverkningsanmälan</t>
        </is>
      </c>
      <c r="C20" t="inlineStr">
        <is>
          <t>Föryngringsavverkning</t>
        </is>
      </c>
      <c r="D20" s="1" t="n">
        <v>45148</v>
      </c>
      <c r="E20" s="1" t="n">
        <v>46222</v>
      </c>
      <c r="F20" t="inlineStr">
        <is>
          <t>STOCKHOLMS LÄN</t>
        </is>
      </c>
      <c r="G20" t="inlineStr">
        <is>
          <t>SÖDERTÄLJE</t>
        </is>
      </c>
      <c r="I20" t="n">
        <v>3</v>
      </c>
      <c r="J20" t="n">
        <v>1</v>
      </c>
      <c r="K20" t="n">
        <v>3</v>
      </c>
      <c r="L20" t="n">
        <v>0</v>
      </c>
      <c r="M20" t="n">
        <v>0</v>
      </c>
      <c r="N20" t="n">
        <v>2</v>
      </c>
      <c r="O20" t="n">
        <v>0</v>
      </c>
      <c r="P20" t="n">
        <v>0</v>
      </c>
      <c r="Q20" t="n">
        <v>2</v>
      </c>
      <c r="R20" t="n">
        <v>2</v>
      </c>
      <c r="S20" t="n">
        <v>6</v>
      </c>
      <c r="T20" t="n">
        <v>7</v>
      </c>
      <c r="U20" s="2" t="inlineStr">
        <is>
          <t>Ask
Skogsalm
Mindre märgborre
Stor aspticka
Tibast
Gullviva</t>
        </is>
      </c>
      <c r="V20">
        <f>HYPERLINK("https://klasma.github.io/Logging_0181/artfynd/A 35937-2023 artfynd.xlsx", "A 35937-2023")</f>
        <v/>
      </c>
      <c r="W20">
        <f>HYPERLINK("https://klasma.github.io/Logging_0181/kartor/A 35937-2023 karta.png", "A 35937-2023")</f>
        <v/>
      </c>
      <c r="Y20">
        <f>HYPERLINK("https://klasma.github.io/Logging_0181/klagomål/A 35937-2023 FSC-klagomål.docx", "A 35937-2023")</f>
        <v/>
      </c>
      <c r="Z20">
        <f>HYPERLINK("https://klasma.github.io/Logging_0181/klagomålsmail/A 35937-2023 FSC-klagomål mail.docx", "A 35937-2023")</f>
        <v/>
      </c>
      <c r="AA20">
        <f>HYPERLINK("https://klasma.github.io/Logging_0181/tillsyn/A 35937-2023 tillsynsbegäran.docx", "A 35937-2023")</f>
        <v/>
      </c>
      <c r="AB20">
        <f>HYPERLINK("https://klasma.github.io/Logging_0181/tillsynsmail/A 35937-2023 tillsynsbegäran mail.docx", "A 35937-2023")</f>
        <v/>
      </c>
    </row>
    <row r="21" ht="15" customHeight="1">
      <c r="A21" t="inlineStr">
        <is>
          <t>S 2839-2024</t>
        </is>
      </c>
      <c r="B21" t="inlineStr">
        <is>
          <t>samrådsanmälan</t>
        </is>
      </c>
      <c r="C21" t="inlineStr">
        <is>
          <t>Annan skogsbruksåtgärd</t>
        </is>
      </c>
      <c r="D21" s="1" t="n">
        <v>45492</v>
      </c>
      <c r="E21" s="1" t="n">
        <v>46222</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s="2" t="inlineStr">
        <is>
          <t>Motaggsvamp
Vedtrappmossa
Blåmossa
Bronshjon
Flagellkvastmossa
Lönnlav</t>
        </is>
      </c>
      <c r="V21">
        <f>HYPERLINK("https://klasma.github.io/Logging_0181/artfynd/S 2839-2024 artfynd.xlsx", "S 2839-2024")</f>
        <v/>
      </c>
      <c r="W21">
        <f>HYPERLINK("https://klasma.github.io/Logging_0181/kartor/S 2839-2024 karta.png", "S 2839-2024")</f>
        <v/>
      </c>
      <c r="Y21">
        <f>HYPERLINK("https://klasma.github.io/Logging_0181/klagomål/S 2839-2024 FSC-klagomål.docx", "S 2839-2024")</f>
        <v/>
      </c>
      <c r="Z21">
        <f>HYPERLINK("https://klasma.github.io/Logging_0181/klagomålsmail/S 2839-2024 FSC-klagomål mail.docx", "S 2839-2024")</f>
        <v/>
      </c>
      <c r="AA21">
        <f>HYPERLINK("https://klasma.github.io/Logging_0181/tillsyn/S 2839-2024 tillsynsbegäran.docx", "S 2839-2024")</f>
        <v/>
      </c>
      <c r="AB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46222</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s="2" t="inlineStr">
        <is>
          <t>Drillsnäppa
Motaggsvamp
Silltrut
Sädesärla
Bred kärrtrollslända</t>
        </is>
      </c>
      <c r="V22">
        <f>HYPERLINK("https://klasma.github.io/Logging_0181/artfynd/A 40751-2021 artfynd.xlsx", "A 40751-2021")</f>
        <v/>
      </c>
      <c r="W22">
        <f>HYPERLINK("https://klasma.github.io/Logging_0181/kartor/A 40751-2021 karta.png", "A 40751-2021")</f>
        <v/>
      </c>
      <c r="Y22">
        <f>HYPERLINK("https://klasma.github.io/Logging_0181/klagomål/A 40751-2021 FSC-klagomål.docx", "A 40751-2021")</f>
        <v/>
      </c>
      <c r="Z22">
        <f>HYPERLINK("https://klasma.github.io/Logging_0181/klagomålsmail/A 40751-2021 FSC-klagomål mail.docx", "A 40751-2021")</f>
        <v/>
      </c>
      <c r="AA22">
        <f>HYPERLINK("https://klasma.github.io/Logging_0181/tillsyn/A 40751-2021 tillsynsbegäran.docx", "A 40751-2021")</f>
        <v/>
      </c>
      <c r="AB22">
        <f>HYPERLINK("https://klasma.github.io/Logging_0181/tillsynsmail/A 40751-2021 tillsynsbegäran mail.docx", "A 40751-2021")</f>
        <v/>
      </c>
      <c r="AC22">
        <f>HYPERLINK("https://klasma.github.io/Logging_0181/fåglar/A 40751-2021 prioriterade fågelarter.docx", "A 40751-2021")</f>
        <v/>
      </c>
    </row>
    <row r="23" ht="15" customHeight="1">
      <c r="A23" t="inlineStr">
        <is>
          <t>A 27971-2022</t>
        </is>
      </c>
      <c r="B23" t="inlineStr">
        <is>
          <t>avverkningsanmälan</t>
        </is>
      </c>
      <c r="C23" t="inlineStr">
        <is>
          <t>Föryngringsavverkning</t>
        </is>
      </c>
      <c r="D23" s="1" t="n">
        <v>44744</v>
      </c>
      <c r="E23" s="1" t="n">
        <v>46222</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s="2" t="inlineStr">
        <is>
          <t>Dropptaggsvamp
Svartvit taggsvamp
Tallticka
Blåmossa
Grovticka</t>
        </is>
      </c>
      <c r="V23">
        <f>HYPERLINK("https://klasma.github.io/Logging_0181/artfynd/A 27971-2022 artfynd.xlsx", "A 27971-2022")</f>
        <v/>
      </c>
      <c r="W23">
        <f>HYPERLINK("https://klasma.github.io/Logging_0181/kartor/A 27971-2022 karta.png", "A 27971-2022")</f>
        <v/>
      </c>
      <c r="Y23">
        <f>HYPERLINK("https://klasma.github.io/Logging_0181/klagomål/A 27971-2022 FSC-klagomål.docx", "A 27971-2022")</f>
        <v/>
      </c>
      <c r="Z23">
        <f>HYPERLINK("https://klasma.github.io/Logging_0181/klagomålsmail/A 27971-2022 FSC-klagomål mail.docx", "A 27971-2022")</f>
        <v/>
      </c>
      <c r="AA23">
        <f>HYPERLINK("https://klasma.github.io/Logging_0181/tillsyn/A 27971-2022 tillsynsbegäran.docx", "A 27971-2022")</f>
        <v/>
      </c>
      <c r="AB23">
        <f>HYPERLINK("https://klasma.github.io/Logging_0181/tillsynsmail/A 27971-2022 tillsynsbegäran mail.docx", "A 27971-2022")</f>
        <v/>
      </c>
    </row>
    <row r="24" ht="15" customHeight="1">
      <c r="A24" t="inlineStr">
        <is>
          <t>A 48341-2025</t>
        </is>
      </c>
      <c r="B24" t="inlineStr">
        <is>
          <t>avverkningsanmälan</t>
        </is>
      </c>
      <c r="C24" t="inlineStr">
        <is>
          <t>Föryngringsavverkning</t>
        </is>
      </c>
      <c r="D24" s="1" t="n">
        <v>45933</v>
      </c>
      <c r="E24" s="1" t="n">
        <v>46222</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s="2" t="inlineStr">
        <is>
          <t>Stor bockrot
Knärot
Svartöra
Platt fjädermossa
Gullviva</t>
        </is>
      </c>
      <c r="V24">
        <f>HYPERLINK("https://klasma.github.io/Logging_0181/artfynd/A 48341-2025 artfynd.xlsx", "A 48341-2025")</f>
        <v/>
      </c>
      <c r="W24">
        <f>HYPERLINK("https://klasma.github.io/Logging_0181/kartor/A 48341-2025 karta.png", "A 48341-2025")</f>
        <v/>
      </c>
      <c r="X24">
        <f>HYPERLINK("https://klasma.github.io/Logging_0181/knärot/A 48341-2025 karta knärot.png", "A 48341-2025")</f>
        <v/>
      </c>
      <c r="Y24">
        <f>HYPERLINK("https://klasma.github.io/Logging_0181/klagomål/A 48341-2025 FSC-klagomål.docx", "A 48341-2025")</f>
        <v/>
      </c>
      <c r="Z24">
        <f>HYPERLINK("https://klasma.github.io/Logging_0181/klagomålsmail/A 48341-2025 FSC-klagomål mail.docx", "A 48341-2025")</f>
        <v/>
      </c>
      <c r="AA24">
        <f>HYPERLINK("https://klasma.github.io/Logging_0181/tillsyn/A 48341-2025 tillsynsbegäran.docx", "A 48341-2025")</f>
        <v/>
      </c>
      <c r="AB24">
        <f>HYPERLINK("https://klasma.github.io/Logging_0181/tillsynsmail/A 48341-2025 tillsynsbegäran mail.docx", "A 48341-2025")</f>
        <v/>
      </c>
    </row>
    <row r="25" ht="15" customHeight="1">
      <c r="A25" t="inlineStr">
        <is>
          <t>A 2680-2026</t>
        </is>
      </c>
      <c r="B25" t="inlineStr">
        <is>
          <t>avverkningsanmälan</t>
        </is>
      </c>
      <c r="C25" t="inlineStr">
        <is>
          <t>Föryngringsavverkning</t>
        </is>
      </c>
      <c r="D25" s="1" t="n">
        <v>46037</v>
      </c>
      <c r="E25" s="1" t="n">
        <v>46222</v>
      </c>
      <c r="F25" t="inlineStr">
        <is>
          <t>STOCKHOLMS LÄN</t>
        </is>
      </c>
      <c r="G25" t="inlineStr">
        <is>
          <t>SÖDERTÄLJE</t>
        </is>
      </c>
      <c r="I25" t="n">
        <v>2.2</v>
      </c>
      <c r="J25" t="n">
        <v>0</v>
      </c>
      <c r="K25" t="n">
        <v>2</v>
      </c>
      <c r="L25" t="n">
        <v>3</v>
      </c>
      <c r="M25" t="n">
        <v>0</v>
      </c>
      <c r="N25" t="n">
        <v>0</v>
      </c>
      <c r="O25" t="n">
        <v>0</v>
      </c>
      <c r="P25" t="n">
        <v>0</v>
      </c>
      <c r="Q25" t="n">
        <v>3</v>
      </c>
      <c r="R25" t="n">
        <v>0</v>
      </c>
      <c r="S25" t="n">
        <v>5</v>
      </c>
      <c r="T25" t="n">
        <v>5</v>
      </c>
      <c r="U25" s="2" t="inlineStr">
        <is>
          <t>Klasefibbla
Svinrot
Vårärt
Springkorn
Svart trolldruva</t>
        </is>
      </c>
      <c r="V25">
        <f>HYPERLINK("https://klasma.github.io/Logging_0181/artfynd/A 2680-2026 artfynd.xlsx", "A 2680-2026")</f>
        <v/>
      </c>
      <c r="W25">
        <f>HYPERLINK("https://klasma.github.io/Logging_0181/kartor/A 2680-2026 karta.png", "A 2680-2026")</f>
        <v/>
      </c>
      <c r="Y25">
        <f>HYPERLINK("https://klasma.github.io/Logging_0181/klagomål/A 2680-2026 FSC-klagomål.docx", "A 2680-2026")</f>
        <v/>
      </c>
      <c r="Z25">
        <f>HYPERLINK("https://klasma.github.io/Logging_0181/klagomålsmail/A 2680-2026 FSC-klagomål mail.docx", "A 2680-2026")</f>
        <v/>
      </c>
      <c r="AA25">
        <f>HYPERLINK("https://klasma.github.io/Logging_0181/tillsyn/A 2680-2026 tillsynsbegäran.docx", "A 2680-2026")</f>
        <v/>
      </c>
      <c r="AB25">
        <f>HYPERLINK("https://klasma.github.io/Logging_0181/tillsynsmail/A 2680-2026 tillsynsbegäran mail.docx", "A 2680-2026")</f>
        <v/>
      </c>
    </row>
    <row r="26" ht="15" customHeight="1">
      <c r="A26" t="inlineStr">
        <is>
          <t>A 62320-2023</t>
        </is>
      </c>
      <c r="B26" t="inlineStr">
        <is>
          <t>avverkningsanmälan</t>
        </is>
      </c>
      <c r="C26" t="inlineStr">
        <is>
          <t>Föryngringsavverkning</t>
        </is>
      </c>
      <c r="D26" s="1" t="n">
        <v>45267</v>
      </c>
      <c r="E26" s="1" t="n">
        <v>46222</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s="2" t="inlineStr">
        <is>
          <t>Motaggsvamp
Vedskivlav
Björksplintborre
Jättesvampmal</t>
        </is>
      </c>
      <c r="V26">
        <f>HYPERLINK("https://klasma.github.io/Logging_0181/artfynd/A 62320-2023 artfynd.xlsx", "A 62320-2023")</f>
        <v/>
      </c>
      <c r="W26">
        <f>HYPERLINK("https://klasma.github.io/Logging_0181/kartor/A 62320-2023 karta.png", "A 62320-2023")</f>
        <v/>
      </c>
      <c r="Y26">
        <f>HYPERLINK("https://klasma.github.io/Logging_0181/klagomål/A 62320-2023 FSC-klagomål.docx", "A 62320-2023")</f>
        <v/>
      </c>
      <c r="Z26">
        <f>HYPERLINK("https://klasma.github.io/Logging_0181/klagomålsmail/A 62320-2023 FSC-klagomål mail.docx", "A 62320-2023")</f>
        <v/>
      </c>
      <c r="AA26">
        <f>HYPERLINK("https://klasma.github.io/Logging_0181/tillsyn/A 62320-2023 tillsynsbegäran.docx", "A 62320-2023")</f>
        <v/>
      </c>
      <c r="AB26">
        <f>HYPERLINK("https://klasma.github.io/Logging_0181/tillsynsmail/A 62320-2023 tillsynsbegäran mail.docx", "A 62320-2023")</f>
        <v/>
      </c>
    </row>
    <row r="27" ht="15" customHeight="1">
      <c r="A27" t="inlineStr">
        <is>
          <t>A 49850-2025</t>
        </is>
      </c>
      <c r="B27" t="inlineStr">
        <is>
          <t>avverkningsanmälan</t>
        </is>
      </c>
      <c r="C27" t="inlineStr">
        <is>
          <t>Föryngringsavverkning</t>
        </is>
      </c>
      <c r="D27" s="1" t="n">
        <v>45940</v>
      </c>
      <c r="E27" s="1" t="n">
        <v>46222</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s="2" t="inlineStr">
        <is>
          <t>Vedskivlav
Strutbräken
Blåsippa
Mattlummer</t>
        </is>
      </c>
      <c r="V27">
        <f>HYPERLINK("https://klasma.github.io/Logging_0181/artfynd/A 49850-2025 artfynd.xlsx", "A 49850-2025")</f>
        <v/>
      </c>
      <c r="W27">
        <f>HYPERLINK("https://klasma.github.io/Logging_0181/kartor/A 49850-2025 karta.png", "A 49850-2025")</f>
        <v/>
      </c>
      <c r="Y27">
        <f>HYPERLINK("https://klasma.github.io/Logging_0181/klagomål/A 49850-2025 FSC-klagomål.docx", "A 49850-2025")</f>
        <v/>
      </c>
      <c r="Z27">
        <f>HYPERLINK("https://klasma.github.io/Logging_0181/klagomålsmail/A 49850-2025 FSC-klagomål mail.docx", "A 49850-2025")</f>
        <v/>
      </c>
      <c r="AA27">
        <f>HYPERLINK("https://klasma.github.io/Logging_0181/tillsyn/A 49850-2025 tillsynsbegäran.docx", "A 49850-2025")</f>
        <v/>
      </c>
      <c r="AB27">
        <f>HYPERLINK("https://klasma.github.io/Logging_0181/tillsynsmail/A 49850-2025 tillsynsbegäran mail.docx", "A 49850-2025")</f>
        <v/>
      </c>
    </row>
    <row r="28" ht="15" customHeight="1">
      <c r="A28" t="inlineStr">
        <is>
          <t>A 9205-2026</t>
        </is>
      </c>
      <c r="B28" t="inlineStr">
        <is>
          <t>avverkningsanmälan</t>
        </is>
      </c>
      <c r="C28" t="inlineStr">
        <is>
          <t>Föryngringsavverkning</t>
        </is>
      </c>
      <c r="D28" s="1" t="n">
        <v>46070</v>
      </c>
      <c r="E28" s="1" t="n">
        <v>46222</v>
      </c>
      <c r="F28" t="inlineStr">
        <is>
          <t>STOCKHOLMS LÄN</t>
        </is>
      </c>
      <c r="G28" t="inlineStr">
        <is>
          <t>SÖDERTÄLJE</t>
        </is>
      </c>
      <c r="I28" t="n">
        <v>6</v>
      </c>
      <c r="J28" t="n">
        <v>1</v>
      </c>
      <c r="K28" t="n">
        <v>2</v>
      </c>
      <c r="L28" t="n">
        <v>1</v>
      </c>
      <c r="M28" t="n">
        <v>0</v>
      </c>
      <c r="N28" t="n">
        <v>0</v>
      </c>
      <c r="O28" t="n">
        <v>0</v>
      </c>
      <c r="P28" t="n">
        <v>0</v>
      </c>
      <c r="Q28" t="n">
        <v>1</v>
      </c>
      <c r="R28" t="n">
        <v>0</v>
      </c>
      <c r="S28" t="n">
        <v>4</v>
      </c>
      <c r="T28" t="n">
        <v>4</v>
      </c>
      <c r="U28" s="2" t="inlineStr">
        <is>
          <t>Dropptaggsvamp
Björksplintborre
Gullgröppa
Spillkråka</t>
        </is>
      </c>
      <c r="V28">
        <f>HYPERLINK("https://klasma.github.io/Logging_0181/artfynd/A 9205-2026 artfynd.xlsx", "A 9205-2026")</f>
        <v/>
      </c>
      <c r="W28">
        <f>HYPERLINK("https://klasma.github.io/Logging_0181/kartor/A 9205-2026 karta.png", "A 9205-2026")</f>
        <v/>
      </c>
      <c r="Y28">
        <f>HYPERLINK("https://klasma.github.io/Logging_0181/klagomål/A 9205-2026 FSC-klagomål.docx", "A 9205-2026")</f>
        <v/>
      </c>
      <c r="Z28">
        <f>HYPERLINK("https://klasma.github.io/Logging_0181/klagomålsmail/A 9205-2026 FSC-klagomål mail.docx", "A 9205-2026")</f>
        <v/>
      </c>
      <c r="AA28">
        <f>HYPERLINK("https://klasma.github.io/Logging_0181/tillsyn/A 9205-2026 tillsynsbegäran.docx", "A 9205-2026")</f>
        <v/>
      </c>
      <c r="AB28">
        <f>HYPERLINK("https://klasma.github.io/Logging_0181/tillsynsmail/A 9205-2026 tillsynsbegäran mail.docx", "A 9205-2026")</f>
        <v/>
      </c>
      <c r="AC28">
        <f>HYPERLINK("https://klasma.github.io/Logging_0181/fåglar/A 9205-2026 prioriterade fågelarter.docx", "A 9205-2026")</f>
        <v/>
      </c>
    </row>
    <row r="29" ht="15" customHeight="1">
      <c r="A29" t="inlineStr">
        <is>
          <t>A 14771-2022</t>
        </is>
      </c>
      <c r="B29" t="inlineStr">
        <is>
          <t>avverkningsanmälan</t>
        </is>
      </c>
      <c r="C29" t="inlineStr">
        <is>
          <t>Föryngringsavverkning</t>
        </is>
      </c>
      <c r="D29" s="1" t="n">
        <v>44656</v>
      </c>
      <c r="E29" s="1" t="n">
        <v>46222</v>
      </c>
      <c r="F29" t="inlineStr">
        <is>
          <t>STOCKHOLMS LÄN</t>
        </is>
      </c>
      <c r="G29" t="inlineStr">
        <is>
          <t>SÖDERTÄLJE</t>
        </is>
      </c>
      <c r="I29" t="n">
        <v>3.8</v>
      </c>
      <c r="J29" t="n">
        <v>3</v>
      </c>
      <c r="K29" t="n">
        <v>1</v>
      </c>
      <c r="L29" t="n">
        <v>0</v>
      </c>
      <c r="M29" t="n">
        <v>0</v>
      </c>
      <c r="N29" t="n">
        <v>0</v>
      </c>
      <c r="O29" t="n">
        <v>0</v>
      </c>
      <c r="P29" t="n">
        <v>0</v>
      </c>
      <c r="Q29" t="n">
        <v>0</v>
      </c>
      <c r="R29" t="n">
        <v>0</v>
      </c>
      <c r="S29" t="n">
        <v>4</v>
      </c>
      <c r="T29" t="n">
        <v>5</v>
      </c>
      <c r="U29" s="2" t="inlineStr">
        <is>
          <t>Grönpyrola
Vanlig groda
Vanlig padda
Revlummer</t>
        </is>
      </c>
      <c r="V29">
        <f>HYPERLINK("https://klasma.github.io/Logging_0181/artfynd/A 14771-2022 artfynd.xlsx", "A 14771-2022")</f>
        <v/>
      </c>
      <c r="W29">
        <f>HYPERLINK("https://klasma.github.io/Logging_0181/kartor/A 14771-2022 karta.png", "A 14771-2022")</f>
        <v/>
      </c>
      <c r="Y29">
        <f>HYPERLINK("https://klasma.github.io/Logging_0181/klagomål/A 14771-2022 FSC-klagomål.docx", "A 14771-2022")</f>
        <v/>
      </c>
      <c r="Z29">
        <f>HYPERLINK("https://klasma.github.io/Logging_0181/klagomålsmail/A 14771-2022 FSC-klagomål mail.docx", "A 14771-2022")</f>
        <v/>
      </c>
      <c r="AA29">
        <f>HYPERLINK("https://klasma.github.io/Logging_0181/tillsyn/A 14771-2022 tillsynsbegäran.docx", "A 14771-2022")</f>
        <v/>
      </c>
      <c r="AB29">
        <f>HYPERLINK("https://klasma.github.io/Logging_0181/tillsynsmail/A 14771-2022 tillsynsbegäran mail.docx", "A 14771-2022")</f>
        <v/>
      </c>
    </row>
    <row r="30" ht="15" customHeight="1">
      <c r="A30" t="inlineStr">
        <is>
          <t>A 52791-2024</t>
        </is>
      </c>
      <c r="B30" t="inlineStr">
        <is>
          <t>avverkningsanmälan</t>
        </is>
      </c>
      <c r="C30" t="inlineStr">
        <is>
          <t>Föryngringsavverkning</t>
        </is>
      </c>
      <c r="D30" s="1" t="n">
        <v>45610</v>
      </c>
      <c r="E30" s="1" t="n">
        <v>46222</v>
      </c>
      <c r="F30" t="inlineStr">
        <is>
          <t>STOCKHOLMS LÄN</t>
        </is>
      </c>
      <c r="G30" t="inlineStr">
        <is>
          <t>SÖDERTÄLJE</t>
        </is>
      </c>
      <c r="I30" t="n">
        <v>0.7</v>
      </c>
      <c r="J30" t="n">
        <v>2</v>
      </c>
      <c r="K30" t="n">
        <v>2</v>
      </c>
      <c r="L30" t="n">
        <v>0</v>
      </c>
      <c r="M30" t="n">
        <v>1</v>
      </c>
      <c r="N30" t="n">
        <v>0</v>
      </c>
      <c r="O30" t="n">
        <v>0</v>
      </c>
      <c r="P30" t="n">
        <v>0</v>
      </c>
      <c r="Q30" t="n">
        <v>1</v>
      </c>
      <c r="R30" t="n">
        <v>1</v>
      </c>
      <c r="S30" t="n">
        <v>4</v>
      </c>
      <c r="T30" t="n">
        <v>21</v>
      </c>
      <c r="U30" s="2" t="inlineStr">
        <is>
          <t>Knärot
Blomkålssvamp
Granbarkgnagare
Spillkråka</t>
        </is>
      </c>
      <c r="V30">
        <f>HYPERLINK("https://klasma.github.io/Logging_0181/artfynd/A 52791-2024 artfynd.xlsx", "A 52791-2024")</f>
        <v/>
      </c>
      <c r="W30">
        <f>HYPERLINK("https://klasma.github.io/Logging_0181/kartor/A 52791-2024 karta.png", "A 52791-2024")</f>
        <v/>
      </c>
      <c r="X30">
        <f>HYPERLINK("https://klasma.github.io/Logging_0181/knärot/A 52791-2024 karta knärot.png", "A 52791-2024")</f>
        <v/>
      </c>
      <c r="Y30">
        <f>HYPERLINK("https://klasma.github.io/Logging_0181/klagomål/A 52791-2024 FSC-klagomål.docx", "A 52791-2024")</f>
        <v/>
      </c>
      <c r="Z30">
        <f>HYPERLINK("https://klasma.github.io/Logging_0181/klagomålsmail/A 52791-2024 FSC-klagomål mail.docx", "A 52791-2024")</f>
        <v/>
      </c>
      <c r="AA30">
        <f>HYPERLINK("https://klasma.github.io/Logging_0181/tillsyn/A 52791-2024 tillsynsbegäran.docx", "A 52791-2024")</f>
        <v/>
      </c>
      <c r="AB30">
        <f>HYPERLINK("https://klasma.github.io/Logging_0181/tillsynsmail/A 52791-2024 tillsynsbegäran mail.docx", "A 52791-2024")</f>
        <v/>
      </c>
      <c r="AC30">
        <f>HYPERLINK("https://klasma.github.io/Logging_0181/fåglar/A 52791-2024 prioriterade fågelarter.docx", "A 52791-2024")</f>
        <v/>
      </c>
    </row>
    <row r="31" ht="15" customHeight="1">
      <c r="A31" t="inlineStr">
        <is>
          <t>A 27972-2022</t>
        </is>
      </c>
      <c r="B31" t="inlineStr">
        <is>
          <t>avverkningsanmälan</t>
        </is>
      </c>
      <c r="C31" t="inlineStr">
        <is>
          <t>Föryngringsavverkning</t>
        </is>
      </c>
      <c r="D31" s="1" t="n">
        <v>44744</v>
      </c>
      <c r="E31" s="1" t="n">
        <v>46222</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s="2" t="inlineStr">
        <is>
          <t>Ask
Dubbelnycklar
Kärrknipprot</t>
        </is>
      </c>
      <c r="V31">
        <f>HYPERLINK("https://klasma.github.io/Logging_0181/artfynd/A 27972-2022 artfynd.xlsx", "A 27972-2022")</f>
        <v/>
      </c>
      <c r="W31">
        <f>HYPERLINK("https://klasma.github.io/Logging_0181/kartor/A 27972-2022 karta.png", "A 27972-2022")</f>
        <v/>
      </c>
      <c r="Y31">
        <f>HYPERLINK("https://klasma.github.io/Logging_0181/klagomål/A 27972-2022 FSC-klagomål.docx", "A 27972-2022")</f>
        <v/>
      </c>
      <c r="Z31">
        <f>HYPERLINK("https://klasma.github.io/Logging_0181/klagomålsmail/A 27972-2022 FSC-klagomål mail.docx", "A 27972-2022")</f>
        <v/>
      </c>
      <c r="AA31">
        <f>HYPERLINK("https://klasma.github.io/Logging_0181/tillsyn/A 27972-2022 tillsynsbegäran.docx", "A 27972-2022")</f>
        <v/>
      </c>
      <c r="AB31">
        <f>HYPERLINK("https://klasma.github.io/Logging_0181/tillsynsmail/A 27972-2022 tillsynsbegäran mail.docx", "A 27972-2022")</f>
        <v/>
      </c>
    </row>
    <row r="32" ht="15" customHeight="1">
      <c r="A32" t="inlineStr">
        <is>
          <t>A 48342-2025</t>
        </is>
      </c>
      <c r="B32" t="inlineStr">
        <is>
          <t>avverkningsanmälan</t>
        </is>
      </c>
      <c r="C32" t="inlineStr">
        <is>
          <t>Föryngringsavverkning</t>
        </is>
      </c>
      <c r="D32" s="1" t="n">
        <v>45933</v>
      </c>
      <c r="E32" s="1" t="n">
        <v>46222</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s="2" t="inlineStr">
        <is>
          <t>Gul taggsvamp
Fjällig taggsvamp s.str.
Spillkråka</t>
        </is>
      </c>
      <c r="V32">
        <f>HYPERLINK("https://klasma.github.io/Logging_0181/artfynd/A 48342-2025 artfynd.xlsx", "A 48342-2025")</f>
        <v/>
      </c>
      <c r="W32">
        <f>HYPERLINK("https://klasma.github.io/Logging_0181/kartor/A 48342-2025 karta.png", "A 48342-2025")</f>
        <v/>
      </c>
      <c r="Y32">
        <f>HYPERLINK("https://klasma.github.io/Logging_0181/klagomål/A 48342-2025 FSC-klagomål.docx", "A 48342-2025")</f>
        <v/>
      </c>
      <c r="Z32">
        <f>HYPERLINK("https://klasma.github.io/Logging_0181/klagomålsmail/A 48342-2025 FSC-klagomål mail.docx", "A 48342-2025")</f>
        <v/>
      </c>
      <c r="AA32">
        <f>HYPERLINK("https://klasma.github.io/Logging_0181/tillsyn/A 48342-2025 tillsynsbegäran.docx", "A 48342-2025")</f>
        <v/>
      </c>
      <c r="AB32">
        <f>HYPERLINK("https://klasma.github.io/Logging_0181/tillsynsmail/A 48342-2025 tillsynsbegäran mail.docx", "A 48342-2025")</f>
        <v/>
      </c>
      <c r="AC32">
        <f>HYPERLINK("https://klasma.github.io/Logging_0181/fåglar/A 48342-2025 prioriterade fågelarter.docx", "A 48342-2025")</f>
        <v/>
      </c>
    </row>
    <row r="33" ht="15" customHeight="1">
      <c r="A33" t="inlineStr">
        <is>
          <t>A 35113-2023</t>
        </is>
      </c>
      <c r="B33" t="inlineStr">
        <is>
          <t>avverkningsanmälan</t>
        </is>
      </c>
      <c r="C33" t="inlineStr">
        <is>
          <t>Föryngringsavverkning</t>
        </is>
      </c>
      <c r="D33" s="1" t="n">
        <v>45145</v>
      </c>
      <c r="E33" s="1" t="n">
        <v>46222</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s="2" t="inlineStr">
        <is>
          <t>Blåsippa
Spillkråka
Kopparödla</t>
        </is>
      </c>
      <c r="V33">
        <f>HYPERLINK("https://klasma.github.io/Logging_0181/artfynd/A 35113-2023 artfynd.xlsx", "A 35113-2023")</f>
        <v/>
      </c>
      <c r="W33">
        <f>HYPERLINK("https://klasma.github.io/Logging_0181/kartor/A 35113-2023 karta.png", "A 35113-2023")</f>
        <v/>
      </c>
      <c r="Y33">
        <f>HYPERLINK("https://klasma.github.io/Logging_0181/klagomål/A 35113-2023 FSC-klagomål.docx", "A 35113-2023")</f>
        <v/>
      </c>
      <c r="Z33">
        <f>HYPERLINK("https://klasma.github.io/Logging_0181/klagomålsmail/A 35113-2023 FSC-klagomål mail.docx", "A 35113-2023")</f>
        <v/>
      </c>
      <c r="AA33">
        <f>HYPERLINK("https://klasma.github.io/Logging_0181/tillsyn/A 35113-2023 tillsynsbegäran.docx", "A 35113-2023")</f>
        <v/>
      </c>
      <c r="AB33">
        <f>HYPERLINK("https://klasma.github.io/Logging_0181/tillsynsmail/A 35113-2023 tillsynsbegäran mail.docx", "A 35113-2023")</f>
        <v/>
      </c>
      <c r="AC33">
        <f>HYPERLINK("https://klasma.github.io/Logging_0181/fåglar/A 35113-2023 prioriterade fågelarter.docx", "A 35113-2023")</f>
        <v/>
      </c>
    </row>
    <row r="34" ht="15" customHeight="1">
      <c r="A34" t="inlineStr">
        <is>
          <t>A 37842-2022</t>
        </is>
      </c>
      <c r="B34" t="inlineStr">
        <is>
          <t>avverkningsanmälan</t>
        </is>
      </c>
      <c r="C34" t="inlineStr">
        <is>
          <t>Avverkning för annat ändamål</t>
        </is>
      </c>
      <c r="D34" s="1" t="n">
        <v>44810</v>
      </c>
      <c r="E34" s="1" t="n">
        <v>46222</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s="2" t="inlineStr">
        <is>
          <t>Sårläka
Nästrot
Blåsippa</t>
        </is>
      </c>
      <c r="V34">
        <f>HYPERLINK("https://klasma.github.io/Logging_0181/artfynd/A 37842-2022 artfynd.xlsx", "A 37842-2022")</f>
        <v/>
      </c>
      <c r="W34">
        <f>HYPERLINK("https://klasma.github.io/Logging_0181/kartor/A 37842-2022 karta.png", "A 37842-2022")</f>
        <v/>
      </c>
      <c r="Y34">
        <f>HYPERLINK("https://klasma.github.io/Logging_0181/klagomål/A 37842-2022 FSC-klagomål.docx", "A 37842-2022")</f>
        <v/>
      </c>
      <c r="Z34">
        <f>HYPERLINK("https://klasma.github.io/Logging_0181/klagomålsmail/A 37842-2022 FSC-klagomål mail.docx", "A 37842-2022")</f>
        <v/>
      </c>
      <c r="AA34">
        <f>HYPERLINK("https://klasma.github.io/Logging_0181/tillsyn/A 37842-2022 tillsynsbegäran.docx", "A 37842-2022")</f>
        <v/>
      </c>
      <c r="AB34">
        <f>HYPERLINK("https://klasma.github.io/Logging_0181/tillsynsmail/A 37842-2022 tillsynsbegäran mail.docx", "A 37842-2022")</f>
        <v/>
      </c>
    </row>
    <row r="35" ht="15" customHeight="1">
      <c r="A35" t="inlineStr">
        <is>
          <t>A 66734-2021</t>
        </is>
      </c>
      <c r="B35" t="inlineStr">
        <is>
          <t>avverkningsanmälan</t>
        </is>
      </c>
      <c r="C35" t="inlineStr">
        <is>
          <t>Föryngringsavverkning</t>
        </is>
      </c>
      <c r="D35" s="1" t="n">
        <v>44520</v>
      </c>
      <c r="E35" s="1" t="n">
        <v>46222</v>
      </c>
      <c r="F35" t="inlineStr">
        <is>
          <t>STOCKHOLMS LÄN</t>
        </is>
      </c>
      <c r="G35" t="inlineStr">
        <is>
          <t>SÖDERTÄLJE</t>
        </is>
      </c>
      <c r="I35" t="n">
        <v>1.2</v>
      </c>
      <c r="J35" t="n">
        <v>0</v>
      </c>
      <c r="K35" t="n">
        <v>1</v>
      </c>
      <c r="L35" t="n">
        <v>2</v>
      </c>
      <c r="M35" t="n">
        <v>0</v>
      </c>
      <c r="N35" t="n">
        <v>0</v>
      </c>
      <c r="O35" t="n">
        <v>0</v>
      </c>
      <c r="P35" t="n">
        <v>0</v>
      </c>
      <c r="Q35" t="n">
        <v>2</v>
      </c>
      <c r="R35" t="n">
        <v>0</v>
      </c>
      <c r="S35" t="n">
        <v>3</v>
      </c>
      <c r="T35" t="n">
        <v>3</v>
      </c>
      <c r="U35" s="2" t="inlineStr">
        <is>
          <t>Dropptaggsvamp
Skarp dropptaggsvamp
Svavelriska</t>
        </is>
      </c>
      <c r="V35">
        <f>HYPERLINK("https://klasma.github.io/Logging_0181/artfynd/A 66734-2021 artfynd.xlsx", "A 66734-2021")</f>
        <v/>
      </c>
      <c r="W35">
        <f>HYPERLINK("https://klasma.github.io/Logging_0181/kartor/A 66734-2021 karta.png", "A 66734-2021")</f>
        <v/>
      </c>
      <c r="Y35">
        <f>HYPERLINK("https://klasma.github.io/Logging_0181/klagomål/A 66734-2021 FSC-klagomål.docx", "A 66734-2021")</f>
        <v/>
      </c>
      <c r="Z35">
        <f>HYPERLINK("https://klasma.github.io/Logging_0181/klagomålsmail/A 66734-2021 FSC-klagomål mail.docx", "A 66734-2021")</f>
        <v/>
      </c>
      <c r="AA35">
        <f>HYPERLINK("https://klasma.github.io/Logging_0181/tillsyn/A 66734-2021 tillsynsbegäran.docx", "A 66734-2021")</f>
        <v/>
      </c>
      <c r="AB35">
        <f>HYPERLINK("https://klasma.github.io/Logging_0181/tillsynsmail/A 66734-2021 tillsynsbegäran mail.docx", "A 66734-2021")</f>
        <v/>
      </c>
    </row>
    <row r="36" ht="15" customHeight="1">
      <c r="A36" t="inlineStr">
        <is>
          <t>S 1804-2025</t>
        </is>
      </c>
      <c r="B36" t="inlineStr">
        <is>
          <t>samrådsanmälan</t>
        </is>
      </c>
      <c r="C36" t="inlineStr">
        <is>
          <t>Annan skogsbruksåtgärd</t>
        </is>
      </c>
      <c r="D36" s="1" t="n">
        <v>45817</v>
      </c>
      <c r="E36" s="1" t="n">
        <v>46222</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s="2" t="inlineStr">
        <is>
          <t>Ekticka
Kandelabersvamp
Fällmossa</t>
        </is>
      </c>
      <c r="V36">
        <f>HYPERLINK("https://klasma.github.io/Logging_0181/artfynd/S 1804-2025 artfynd.xlsx", "S 1804-2025")</f>
        <v/>
      </c>
      <c r="W36">
        <f>HYPERLINK("https://klasma.github.io/Logging_0181/kartor/S 1804-2025 karta.png", "S 1804-2025")</f>
        <v/>
      </c>
      <c r="Y36">
        <f>HYPERLINK("https://klasma.github.io/Logging_0181/klagomål/S 1804-2025 FSC-klagomål.docx", "S 1804-2025")</f>
        <v/>
      </c>
      <c r="Z36">
        <f>HYPERLINK("https://klasma.github.io/Logging_0181/klagomålsmail/S 1804-2025 FSC-klagomål mail.docx", "S 1804-2025")</f>
        <v/>
      </c>
      <c r="AA36">
        <f>HYPERLINK("https://klasma.github.io/Logging_0181/tillsyn/S 1804-2025 tillsynsbegäran.docx", "S 1804-2025")</f>
        <v/>
      </c>
      <c r="AB36">
        <f>HYPERLINK("https://klasma.github.io/Logging_0181/tillsynsmail/S 1804-2025 tillsynsbegäran mail.docx", "S 1804-2025")</f>
        <v/>
      </c>
    </row>
    <row r="37" ht="15" customHeight="1">
      <c r="A37" t="inlineStr">
        <is>
          <t>A 52046-2022</t>
        </is>
      </c>
      <c r="B37" t="inlineStr">
        <is>
          <t>avverkningsanmälan</t>
        </is>
      </c>
      <c r="C37" t="inlineStr">
        <is>
          <t>Föryngringsavverkning</t>
        </is>
      </c>
      <c r="D37" s="1" t="n">
        <v>44868</v>
      </c>
      <c r="E37" s="1" t="n">
        <v>46222</v>
      </c>
      <c r="F37" t="inlineStr">
        <is>
          <t>STOCKHOLMS LÄN</t>
        </is>
      </c>
      <c r="G37" t="inlineStr">
        <is>
          <t>SÖDERTÄLJE</t>
        </is>
      </c>
      <c r="H37" t="inlineStr">
        <is>
          <t>Kommuner</t>
        </is>
      </c>
      <c r="I37" t="n">
        <v>14.4</v>
      </c>
      <c r="J37" t="n">
        <v>1</v>
      </c>
      <c r="K37" t="n">
        <v>0</v>
      </c>
      <c r="L37" t="n">
        <v>1</v>
      </c>
      <c r="M37" t="n">
        <v>0</v>
      </c>
      <c r="N37" t="n">
        <v>0</v>
      </c>
      <c r="O37" t="n">
        <v>0</v>
      </c>
      <c r="P37" t="n">
        <v>0</v>
      </c>
      <c r="Q37" t="n">
        <v>1</v>
      </c>
      <c r="R37" t="n">
        <v>0</v>
      </c>
      <c r="S37" t="n">
        <v>2</v>
      </c>
      <c r="T37" t="n">
        <v>2</v>
      </c>
      <c r="U37" s="2" t="inlineStr">
        <is>
          <t>Ullticka
Nattviol</t>
        </is>
      </c>
      <c r="V37">
        <f>HYPERLINK("https://klasma.github.io/Logging_0181/artfynd/A 52046-2022 artfynd.xlsx", "A 52046-2022")</f>
        <v/>
      </c>
      <c r="W37">
        <f>HYPERLINK("https://klasma.github.io/Logging_0181/kartor/A 52046-2022 karta.png", "A 52046-2022")</f>
        <v/>
      </c>
      <c r="Y37">
        <f>HYPERLINK("https://klasma.github.io/Logging_0181/klagomål/A 52046-2022 FSC-klagomål.docx", "A 52046-2022")</f>
        <v/>
      </c>
      <c r="Z37">
        <f>HYPERLINK("https://klasma.github.io/Logging_0181/klagomålsmail/A 52046-2022 FSC-klagomål mail.docx", "A 52046-2022")</f>
        <v/>
      </c>
      <c r="AA37">
        <f>HYPERLINK("https://klasma.github.io/Logging_0181/tillsyn/A 52046-2022 tillsynsbegäran.docx", "A 52046-2022")</f>
        <v/>
      </c>
      <c r="AB37">
        <f>HYPERLINK("https://klasma.github.io/Logging_0181/tillsynsmail/A 52046-2022 tillsynsbegäran mail.docx", "A 52046-2022")</f>
        <v/>
      </c>
    </row>
    <row r="38" ht="15" customHeight="1">
      <c r="A38" t="inlineStr">
        <is>
          <t>A 27058-2024</t>
        </is>
      </c>
      <c r="B38" t="inlineStr">
        <is>
          <t>avverkningsanmälan</t>
        </is>
      </c>
      <c r="C38" t="inlineStr">
        <is>
          <t>Avverkning för att bevara och utveckla /försöksver</t>
        </is>
      </c>
      <c r="D38" s="1" t="n">
        <v>45471</v>
      </c>
      <c r="E38" s="1" t="n">
        <v>46222</v>
      </c>
      <c r="F38" t="inlineStr">
        <is>
          <t>STOCKHOLMS LÄN</t>
        </is>
      </c>
      <c r="G38" t="inlineStr">
        <is>
          <t>SÖDERTÄLJE</t>
        </is>
      </c>
      <c r="H38" t="inlineStr">
        <is>
          <t>Kommuner</t>
        </is>
      </c>
      <c r="I38" t="n">
        <v>3.7</v>
      </c>
      <c r="J38" t="n">
        <v>1</v>
      </c>
      <c r="K38" t="n">
        <v>0</v>
      </c>
      <c r="L38" t="n">
        <v>1</v>
      </c>
      <c r="M38" t="n">
        <v>0</v>
      </c>
      <c r="N38" t="n">
        <v>0</v>
      </c>
      <c r="O38" t="n">
        <v>0</v>
      </c>
      <c r="P38" t="n">
        <v>0</v>
      </c>
      <c r="Q38" t="n">
        <v>1</v>
      </c>
      <c r="R38" t="n">
        <v>0</v>
      </c>
      <c r="S38" t="n">
        <v>2</v>
      </c>
      <c r="T38" t="n">
        <v>3</v>
      </c>
      <c r="U38" s="2" t="inlineStr">
        <is>
          <t>Persiljespindling
Gröngöling</t>
        </is>
      </c>
      <c r="V38">
        <f>HYPERLINK("https://klasma.github.io/Logging_0181/artfynd/A 27058-2024 artfynd.xlsx", "A 27058-2024")</f>
        <v/>
      </c>
      <c r="W38">
        <f>HYPERLINK("https://klasma.github.io/Logging_0181/kartor/A 27058-2024 karta.png", "A 27058-2024")</f>
        <v/>
      </c>
      <c r="Y38">
        <f>HYPERLINK("https://klasma.github.io/Logging_0181/klagomål/A 27058-2024 FSC-klagomål.docx", "A 27058-2024")</f>
        <v/>
      </c>
      <c r="Z38">
        <f>HYPERLINK("https://klasma.github.io/Logging_0181/klagomålsmail/A 27058-2024 FSC-klagomål mail.docx", "A 27058-2024")</f>
        <v/>
      </c>
      <c r="AA38">
        <f>HYPERLINK("https://klasma.github.io/Logging_0181/tillsyn/A 27058-2024 tillsynsbegäran.docx", "A 27058-2024")</f>
        <v/>
      </c>
      <c r="AB38">
        <f>HYPERLINK("https://klasma.github.io/Logging_0181/tillsynsmail/A 27058-2024 tillsynsbegäran mail.docx", "A 27058-2024")</f>
        <v/>
      </c>
    </row>
    <row r="39" ht="15" customHeight="1">
      <c r="A39" t="inlineStr">
        <is>
          <t>A 3711-2026</t>
        </is>
      </c>
      <c r="B39" t="inlineStr">
        <is>
          <t>avverkningsanmälan</t>
        </is>
      </c>
      <c r="C39" t="inlineStr">
        <is>
          <t>Föryngringsavverkning</t>
        </is>
      </c>
      <c r="D39" s="1" t="n">
        <v>46043</v>
      </c>
      <c r="E39" s="1" t="n">
        <v>46222</v>
      </c>
      <c r="F39" t="inlineStr">
        <is>
          <t>STOCKHOLMS LÄN</t>
        </is>
      </c>
      <c r="G39" t="inlineStr">
        <is>
          <t>SÖDERTÄLJE</t>
        </is>
      </c>
      <c r="I39" t="n">
        <v>5.3</v>
      </c>
      <c r="J39" t="n">
        <v>1</v>
      </c>
      <c r="K39" t="n">
        <v>0</v>
      </c>
      <c r="L39" t="n">
        <v>1</v>
      </c>
      <c r="M39" t="n">
        <v>0</v>
      </c>
      <c r="N39" t="n">
        <v>0</v>
      </c>
      <c r="O39" t="n">
        <v>0</v>
      </c>
      <c r="P39" t="n">
        <v>0</v>
      </c>
      <c r="Q39" t="n">
        <v>1</v>
      </c>
      <c r="R39" t="n">
        <v>0</v>
      </c>
      <c r="S39" t="n">
        <v>2</v>
      </c>
      <c r="T39" t="n">
        <v>3</v>
      </c>
      <c r="U39" s="2" t="inlineStr">
        <is>
          <t>Motaggsvamp
Spillkråka</t>
        </is>
      </c>
      <c r="V39">
        <f>HYPERLINK("https://klasma.github.io/Logging_0181/artfynd/A 3711-2026 artfynd.xlsx", "A 3711-2026")</f>
        <v/>
      </c>
      <c r="W39">
        <f>HYPERLINK("https://klasma.github.io/Logging_0181/kartor/A 3711-2026 karta.png", "A 3711-2026")</f>
        <v/>
      </c>
      <c r="Y39">
        <f>HYPERLINK("https://klasma.github.io/Logging_0181/klagomål/A 3711-2026 FSC-klagomål.docx", "A 3711-2026")</f>
        <v/>
      </c>
      <c r="Z39">
        <f>HYPERLINK("https://klasma.github.io/Logging_0181/klagomålsmail/A 3711-2026 FSC-klagomål mail.docx", "A 3711-2026")</f>
        <v/>
      </c>
      <c r="AA39">
        <f>HYPERLINK("https://klasma.github.io/Logging_0181/tillsyn/A 3711-2026 tillsynsbegäran.docx", "A 3711-2026")</f>
        <v/>
      </c>
      <c r="AB39">
        <f>HYPERLINK("https://klasma.github.io/Logging_0181/tillsynsmail/A 3711-2026 tillsynsbegäran mail.docx", "A 3711-2026")</f>
        <v/>
      </c>
      <c r="AC39">
        <f>HYPERLINK("https://klasma.github.io/Logging_0181/fåglar/A 3711-2026 prioriterade fågelarter.docx", "A 3711-2026")</f>
        <v/>
      </c>
    </row>
    <row r="40" ht="15" customHeight="1">
      <c r="A40" t="inlineStr">
        <is>
          <t>A 35155-2023</t>
        </is>
      </c>
      <c r="B40" t="inlineStr">
        <is>
          <t>avverkningsanmälan</t>
        </is>
      </c>
      <c r="C40" t="inlineStr">
        <is>
          <t>Föryngringsavverkning</t>
        </is>
      </c>
      <c r="D40" s="1" t="n">
        <v>45145</v>
      </c>
      <c r="E40" s="1" t="n">
        <v>46222</v>
      </c>
      <c r="F40" t="inlineStr">
        <is>
          <t>STOCKHOLMS LÄN</t>
        </is>
      </c>
      <c r="G40" t="inlineStr">
        <is>
          <t>SÖDERTÄLJE</t>
        </is>
      </c>
      <c r="I40" t="n">
        <v>4.1</v>
      </c>
      <c r="J40" t="n">
        <v>1</v>
      </c>
      <c r="K40" t="n">
        <v>1</v>
      </c>
      <c r="L40" t="n">
        <v>0</v>
      </c>
      <c r="M40" t="n">
        <v>0</v>
      </c>
      <c r="N40" t="n">
        <v>0</v>
      </c>
      <c r="O40" t="n">
        <v>0</v>
      </c>
      <c r="P40" t="n">
        <v>0</v>
      </c>
      <c r="Q40" t="n">
        <v>0</v>
      </c>
      <c r="R40" t="n">
        <v>0</v>
      </c>
      <c r="S40" t="n">
        <v>2</v>
      </c>
      <c r="T40" t="n">
        <v>2</v>
      </c>
      <c r="U40" s="2" t="inlineStr">
        <is>
          <t>Björksplintborre
Mattlummer</t>
        </is>
      </c>
      <c r="V40">
        <f>HYPERLINK("https://klasma.github.io/Logging_0181/artfynd/A 35155-2023 artfynd.xlsx", "A 35155-2023")</f>
        <v/>
      </c>
      <c r="W40">
        <f>HYPERLINK("https://klasma.github.io/Logging_0181/kartor/A 35155-2023 karta.png", "A 35155-2023")</f>
        <v/>
      </c>
      <c r="Y40">
        <f>HYPERLINK("https://klasma.github.io/Logging_0181/klagomål/A 35155-2023 FSC-klagomål.docx", "A 35155-2023")</f>
        <v/>
      </c>
      <c r="Z40">
        <f>HYPERLINK("https://klasma.github.io/Logging_0181/klagomålsmail/A 35155-2023 FSC-klagomål mail.docx", "A 35155-2023")</f>
        <v/>
      </c>
      <c r="AA40">
        <f>HYPERLINK("https://klasma.github.io/Logging_0181/tillsyn/A 35155-2023 tillsynsbegäran.docx", "A 35155-2023")</f>
        <v/>
      </c>
      <c r="AB40">
        <f>HYPERLINK("https://klasma.github.io/Logging_0181/tillsynsmail/A 35155-2023 tillsynsbegäran mail.docx", "A 35155-2023")</f>
        <v/>
      </c>
    </row>
    <row r="41" ht="15" customHeight="1">
      <c r="A41" t="inlineStr">
        <is>
          <t>A 55263-2021</t>
        </is>
      </c>
      <c r="B41" t="inlineStr">
        <is>
          <t>avverkningsanmälan</t>
        </is>
      </c>
      <c r="C41" t="inlineStr">
        <is>
          <t>Föryngringsavverkning</t>
        </is>
      </c>
      <c r="D41" s="1" t="n">
        <v>44475</v>
      </c>
      <c r="E41" s="1" t="n">
        <v>46222</v>
      </c>
      <c r="F41" t="inlineStr">
        <is>
          <t>STOCKHOLMS LÄN</t>
        </is>
      </c>
      <c r="G41" t="inlineStr">
        <is>
          <t>SÖDERTÄLJE</t>
        </is>
      </c>
      <c r="I41" t="n">
        <v>2.3</v>
      </c>
      <c r="J41" t="n">
        <v>0</v>
      </c>
      <c r="K41" t="n">
        <v>0</v>
      </c>
      <c r="L41" t="n">
        <v>2</v>
      </c>
      <c r="M41" t="n">
        <v>0</v>
      </c>
      <c r="N41" t="n">
        <v>0</v>
      </c>
      <c r="O41" t="n">
        <v>0</v>
      </c>
      <c r="P41" t="n">
        <v>0</v>
      </c>
      <c r="Q41" t="n">
        <v>2</v>
      </c>
      <c r="R41" t="n">
        <v>0</v>
      </c>
      <c r="S41" t="n">
        <v>2</v>
      </c>
      <c r="T41" t="n">
        <v>2</v>
      </c>
      <c r="U41" s="2" t="inlineStr">
        <is>
          <t>Backklöver
Reliktbock</t>
        </is>
      </c>
      <c r="V41">
        <f>HYPERLINK("https://klasma.github.io/Logging_0181/artfynd/A 55263-2021 artfynd.xlsx", "A 55263-2021")</f>
        <v/>
      </c>
      <c r="W41">
        <f>HYPERLINK("https://klasma.github.io/Logging_0181/kartor/A 55263-2021 karta.png", "A 55263-2021")</f>
        <v/>
      </c>
      <c r="Y41">
        <f>HYPERLINK("https://klasma.github.io/Logging_0181/klagomål/A 55263-2021 FSC-klagomål.docx", "A 55263-2021")</f>
        <v/>
      </c>
      <c r="Z41">
        <f>HYPERLINK("https://klasma.github.io/Logging_0181/klagomålsmail/A 55263-2021 FSC-klagomål mail.docx", "A 55263-2021")</f>
        <v/>
      </c>
      <c r="AA41">
        <f>HYPERLINK("https://klasma.github.io/Logging_0181/tillsyn/A 55263-2021 tillsynsbegäran.docx", "A 55263-2021")</f>
        <v/>
      </c>
      <c r="AB41">
        <f>HYPERLINK("https://klasma.github.io/Logging_0181/tillsynsmail/A 55263-2021 tillsynsbegäran mail.docx", "A 55263-2021")</f>
        <v/>
      </c>
    </row>
    <row r="42" ht="15" customHeight="1">
      <c r="A42" t="inlineStr">
        <is>
          <t>A 55044-2025</t>
        </is>
      </c>
      <c r="B42" t="inlineStr">
        <is>
          <t>avverkningsanmälan</t>
        </is>
      </c>
      <c r="C42" t="inlineStr">
        <is>
          <t>Föryngringsavverkning</t>
        </is>
      </c>
      <c r="D42" s="1" t="n">
        <v>45967</v>
      </c>
      <c r="E42" s="1" t="n">
        <v>46222</v>
      </c>
      <c r="F42" t="inlineStr">
        <is>
          <t>STOCKHOLMS LÄN</t>
        </is>
      </c>
      <c r="G42" t="inlineStr">
        <is>
          <t>SÖDERTÄLJE</t>
        </is>
      </c>
      <c r="I42" t="n">
        <v>3.8</v>
      </c>
      <c r="J42" t="n">
        <v>2</v>
      </c>
      <c r="K42" t="n">
        <v>0</v>
      </c>
      <c r="L42" t="n">
        <v>0</v>
      </c>
      <c r="M42" t="n">
        <v>0</v>
      </c>
      <c r="N42" t="n">
        <v>0</v>
      </c>
      <c r="O42" t="n">
        <v>0</v>
      </c>
      <c r="P42" t="n">
        <v>0</v>
      </c>
      <c r="Q42" t="n">
        <v>0</v>
      </c>
      <c r="R42" t="n">
        <v>0</v>
      </c>
      <c r="S42" t="n">
        <v>2</v>
      </c>
      <c r="T42" t="n">
        <v>2</v>
      </c>
      <c r="U42" s="2" t="inlineStr">
        <is>
          <t>Blåsippa
Spillkråka</t>
        </is>
      </c>
      <c r="V42">
        <f>HYPERLINK("https://klasma.github.io/Logging_0181/artfynd/A 55044-2025 artfynd.xlsx", "A 55044-2025")</f>
        <v/>
      </c>
      <c r="W42">
        <f>HYPERLINK("https://klasma.github.io/Logging_0181/kartor/A 55044-2025 karta.png", "A 55044-2025")</f>
        <v/>
      </c>
      <c r="Y42">
        <f>HYPERLINK("https://klasma.github.io/Logging_0181/klagomål/A 55044-2025 FSC-klagomål.docx", "A 55044-2025")</f>
        <v/>
      </c>
      <c r="Z42">
        <f>HYPERLINK("https://klasma.github.io/Logging_0181/klagomålsmail/A 55044-2025 FSC-klagomål mail.docx", "A 55044-2025")</f>
        <v/>
      </c>
      <c r="AA42">
        <f>HYPERLINK("https://klasma.github.io/Logging_0181/tillsyn/A 55044-2025 tillsynsbegäran.docx", "A 55044-2025")</f>
        <v/>
      </c>
      <c r="AB42">
        <f>HYPERLINK("https://klasma.github.io/Logging_0181/tillsynsmail/A 55044-2025 tillsynsbegäran mail.docx", "A 55044-2025")</f>
        <v/>
      </c>
      <c r="AC42">
        <f>HYPERLINK("https://klasma.github.io/Logging_0181/fåglar/A 55044-2025 prioriterade fågelarter.docx", "A 55044-2025")</f>
        <v/>
      </c>
    </row>
    <row r="43" ht="15" customHeight="1">
      <c r="A43" t="inlineStr">
        <is>
          <t>A 10263-2025</t>
        </is>
      </c>
      <c r="B43" t="inlineStr">
        <is>
          <t>avverkningsanmälan</t>
        </is>
      </c>
      <c r="C43" t="inlineStr">
        <is>
          <t>Föryngringsavverkning</t>
        </is>
      </c>
      <c r="D43" s="1" t="n">
        <v>45720</v>
      </c>
      <c r="E43" s="1" t="n">
        <v>46222</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s="2" t="inlineStr">
        <is>
          <t>Spillkråka
Kungsfågel</t>
        </is>
      </c>
      <c r="V43">
        <f>HYPERLINK("https://klasma.github.io/Logging_0181/artfynd/A 10263-2025 artfynd.xlsx", "A 10263-2025")</f>
        <v/>
      </c>
      <c r="W43">
        <f>HYPERLINK("https://klasma.github.io/Logging_0181/kartor/A 10263-2025 karta.png", "A 10263-2025")</f>
        <v/>
      </c>
      <c r="Y43">
        <f>HYPERLINK("https://klasma.github.io/Logging_0181/klagomål/A 10263-2025 FSC-klagomål.docx", "A 10263-2025")</f>
        <v/>
      </c>
      <c r="Z43">
        <f>HYPERLINK("https://klasma.github.io/Logging_0181/klagomålsmail/A 10263-2025 FSC-klagomål mail.docx", "A 10263-2025")</f>
        <v/>
      </c>
      <c r="AA43">
        <f>HYPERLINK("https://klasma.github.io/Logging_0181/tillsyn/A 10263-2025 tillsynsbegäran.docx", "A 10263-2025")</f>
        <v/>
      </c>
      <c r="AB43">
        <f>HYPERLINK("https://klasma.github.io/Logging_0181/tillsynsmail/A 10263-2025 tillsynsbegäran mail.docx", "A 10263-2025")</f>
        <v/>
      </c>
      <c r="AC43">
        <f>HYPERLINK("https://klasma.github.io/Logging_0181/fåglar/A 10263-2025 prioriterade fågelarter.docx", "A 10263-2025")</f>
        <v/>
      </c>
    </row>
    <row r="44" ht="15" customHeight="1">
      <c r="A44" t="inlineStr">
        <is>
          <t>A 16535-2025</t>
        </is>
      </c>
      <c r="B44" t="inlineStr">
        <is>
          <t>avverkningsanmälan</t>
        </is>
      </c>
      <c r="C44" t="inlineStr">
        <is>
          <t>Föryngringsavverkning</t>
        </is>
      </c>
      <c r="D44" s="1" t="n">
        <v>45751</v>
      </c>
      <c r="E44" s="1" t="n">
        <v>46222</v>
      </c>
      <c r="F44" t="inlineStr">
        <is>
          <t>STOCKHOLMS LÄN</t>
        </is>
      </c>
      <c r="G44" t="inlineStr">
        <is>
          <t>SÖDERTÄLJE</t>
        </is>
      </c>
      <c r="I44" t="n">
        <v>1.1</v>
      </c>
      <c r="J44" t="n">
        <v>1</v>
      </c>
      <c r="K44" t="n">
        <v>1</v>
      </c>
      <c r="L44" t="n">
        <v>0</v>
      </c>
      <c r="M44" t="n">
        <v>0</v>
      </c>
      <c r="N44" t="n">
        <v>0</v>
      </c>
      <c r="O44" t="n">
        <v>0</v>
      </c>
      <c r="P44" t="n">
        <v>0</v>
      </c>
      <c r="Q44" t="n">
        <v>0</v>
      </c>
      <c r="R44" t="n">
        <v>0</v>
      </c>
      <c r="S44" t="n">
        <v>2</v>
      </c>
      <c r="T44" t="n">
        <v>4</v>
      </c>
      <c r="U44" s="2" t="inlineStr">
        <is>
          <t>Tibast
Blåsippa</t>
        </is>
      </c>
      <c r="V44">
        <f>HYPERLINK("https://klasma.github.io/Logging_0181/artfynd/A 16535-2025 artfynd.xlsx", "A 16535-2025")</f>
        <v/>
      </c>
      <c r="W44">
        <f>HYPERLINK("https://klasma.github.io/Logging_0181/kartor/A 16535-2025 karta.png", "A 16535-2025")</f>
        <v/>
      </c>
      <c r="Y44">
        <f>HYPERLINK("https://klasma.github.io/Logging_0181/klagomål/A 16535-2025 FSC-klagomål.docx", "A 16535-2025")</f>
        <v/>
      </c>
      <c r="Z44">
        <f>HYPERLINK("https://klasma.github.io/Logging_0181/klagomålsmail/A 16535-2025 FSC-klagomål mail.docx", "A 16535-2025")</f>
        <v/>
      </c>
      <c r="AA44">
        <f>HYPERLINK("https://klasma.github.io/Logging_0181/tillsyn/A 16535-2025 tillsynsbegäran.docx", "A 16535-2025")</f>
        <v/>
      </c>
      <c r="AB44">
        <f>HYPERLINK("https://klasma.github.io/Logging_0181/tillsynsmail/A 16535-2025 tillsynsbegäran mail.docx", "A 16535-2025")</f>
        <v/>
      </c>
    </row>
    <row r="45" ht="15" customHeight="1">
      <c r="A45" t="inlineStr">
        <is>
          <t>A 16724-2022</t>
        </is>
      </c>
      <c r="B45" t="inlineStr">
        <is>
          <t>avverkningsanmälan</t>
        </is>
      </c>
      <c r="C45" t="inlineStr">
        <is>
          <t>Avverkning för annat ändamål</t>
        </is>
      </c>
      <c r="D45" s="1" t="n">
        <v>44673</v>
      </c>
      <c r="E45" s="1" t="n">
        <v>46222</v>
      </c>
      <c r="F45" t="inlineStr">
        <is>
          <t>STOCKHOLMS LÄN</t>
        </is>
      </c>
      <c r="G45" t="inlineStr">
        <is>
          <t>SÖDERTÄLJE</t>
        </is>
      </c>
      <c r="H45" t="inlineStr">
        <is>
          <t>Övriga statliga verk och myndigheter</t>
        </is>
      </c>
      <c r="I45" t="n">
        <v>2.7</v>
      </c>
      <c r="J45" t="n">
        <v>0</v>
      </c>
      <c r="K45" t="n">
        <v>0</v>
      </c>
      <c r="L45" t="n">
        <v>1</v>
      </c>
      <c r="M45" t="n">
        <v>0</v>
      </c>
      <c r="N45" t="n">
        <v>1</v>
      </c>
      <c r="O45" t="n">
        <v>0</v>
      </c>
      <c r="P45" t="n">
        <v>0</v>
      </c>
      <c r="Q45" t="n">
        <v>2</v>
      </c>
      <c r="R45" t="n">
        <v>1</v>
      </c>
      <c r="S45" t="n">
        <v>2</v>
      </c>
      <c r="T45" t="n">
        <v>3</v>
      </c>
      <c r="U45" s="2" t="inlineStr">
        <is>
          <t>Stor bockrot
Gullpudra</t>
        </is>
      </c>
      <c r="V45">
        <f>HYPERLINK("https://klasma.github.io/Logging_0181/artfynd/A 16724-2022 artfynd.xlsx", "A 16724-2022")</f>
        <v/>
      </c>
      <c r="W45">
        <f>HYPERLINK("https://klasma.github.io/Logging_0181/kartor/A 16724-2022 karta.png", "A 16724-2022")</f>
        <v/>
      </c>
      <c r="Y45">
        <f>HYPERLINK("https://klasma.github.io/Logging_0181/klagomål/A 16724-2022 FSC-klagomål.docx", "A 16724-2022")</f>
        <v/>
      </c>
      <c r="Z45">
        <f>HYPERLINK("https://klasma.github.io/Logging_0181/klagomålsmail/A 16724-2022 FSC-klagomål mail.docx", "A 16724-2022")</f>
        <v/>
      </c>
      <c r="AA45">
        <f>HYPERLINK("https://klasma.github.io/Logging_0181/tillsyn/A 16724-2022 tillsynsbegäran.docx", "A 16724-2022")</f>
        <v/>
      </c>
      <c r="AB45">
        <f>HYPERLINK("https://klasma.github.io/Logging_0181/tillsynsmail/A 16724-2022 tillsynsbegäran mail.docx", "A 16724-2022")</f>
        <v/>
      </c>
    </row>
    <row r="46" ht="15" customHeight="1">
      <c r="A46" t="inlineStr">
        <is>
          <t>A 16478-2025</t>
        </is>
      </c>
      <c r="B46" t="inlineStr">
        <is>
          <t>avverkningsanmälan</t>
        </is>
      </c>
      <c r="C46" t="inlineStr">
        <is>
          <t>Föryngringsavverkning</t>
        </is>
      </c>
      <c r="D46" s="1" t="n">
        <v>45751</v>
      </c>
      <c r="E46" s="1" t="n">
        <v>46222</v>
      </c>
      <c r="F46" t="inlineStr">
        <is>
          <t>STOCKHOLMS LÄN</t>
        </is>
      </c>
      <c r="G46" t="inlineStr">
        <is>
          <t>SÖDERTÄLJE</t>
        </is>
      </c>
      <c r="I46" t="n">
        <v>2.1</v>
      </c>
      <c r="J46" t="n">
        <v>0</v>
      </c>
      <c r="K46" t="n">
        <v>2</v>
      </c>
      <c r="L46" t="n">
        <v>0</v>
      </c>
      <c r="M46" t="n">
        <v>0</v>
      </c>
      <c r="N46" t="n">
        <v>0</v>
      </c>
      <c r="O46" t="n">
        <v>0</v>
      </c>
      <c r="P46" t="n">
        <v>0</v>
      </c>
      <c r="Q46" t="n">
        <v>0</v>
      </c>
      <c r="R46" t="n">
        <v>0</v>
      </c>
      <c r="S46" t="n">
        <v>2</v>
      </c>
      <c r="T46" t="n">
        <v>3</v>
      </c>
      <c r="U46" s="2" t="inlineStr">
        <is>
          <t>Myskbock
Tibast</t>
        </is>
      </c>
      <c r="V46">
        <f>HYPERLINK("https://klasma.github.io/Logging_0181/artfynd/A 16478-2025 artfynd.xlsx", "A 16478-2025")</f>
        <v/>
      </c>
      <c r="W46">
        <f>HYPERLINK("https://klasma.github.io/Logging_0181/kartor/A 16478-2025 karta.png", "A 16478-2025")</f>
        <v/>
      </c>
      <c r="Y46">
        <f>HYPERLINK("https://klasma.github.io/Logging_0181/klagomål/A 16478-2025 FSC-klagomål.docx", "A 16478-2025")</f>
        <v/>
      </c>
      <c r="Z46">
        <f>HYPERLINK("https://klasma.github.io/Logging_0181/klagomålsmail/A 16478-2025 FSC-klagomål mail.docx", "A 16478-2025")</f>
        <v/>
      </c>
      <c r="AA46">
        <f>HYPERLINK("https://klasma.github.io/Logging_0181/tillsyn/A 16478-2025 tillsynsbegäran.docx", "A 16478-2025")</f>
        <v/>
      </c>
      <c r="AB46">
        <f>HYPERLINK("https://klasma.github.io/Logging_0181/tillsynsmail/A 16478-2025 tillsynsbegäran mail.docx", "A 16478-2025")</f>
        <v/>
      </c>
    </row>
    <row r="47" ht="15" customHeight="1">
      <c r="A47" t="inlineStr">
        <is>
          <t>A 55941-2023</t>
        </is>
      </c>
      <c r="B47" t="inlineStr">
        <is>
          <t>avverkningsanmälan</t>
        </is>
      </c>
      <c r="C47" t="inlineStr">
        <is>
          <t>Föryngringsavverkning</t>
        </is>
      </c>
      <c r="D47" s="1" t="n">
        <v>45240</v>
      </c>
      <c r="E47" s="1" t="n">
        <v>46222</v>
      </c>
      <c r="F47" t="inlineStr">
        <is>
          <t>STOCKHOLMS LÄN</t>
        </is>
      </c>
      <c r="G47" t="inlineStr">
        <is>
          <t>SÖDERTÄLJE</t>
        </is>
      </c>
      <c r="I47" t="n">
        <v>2.5</v>
      </c>
      <c r="J47" t="n">
        <v>0</v>
      </c>
      <c r="K47" t="n">
        <v>1</v>
      </c>
      <c r="L47" t="n">
        <v>1</v>
      </c>
      <c r="M47" t="n">
        <v>0</v>
      </c>
      <c r="N47" t="n">
        <v>0</v>
      </c>
      <c r="O47" t="n">
        <v>0</v>
      </c>
      <c r="P47" t="n">
        <v>0</v>
      </c>
      <c r="Q47" t="n">
        <v>1</v>
      </c>
      <c r="R47" t="n">
        <v>0</v>
      </c>
      <c r="S47" t="n">
        <v>2</v>
      </c>
      <c r="T47" t="n">
        <v>2</v>
      </c>
      <c r="U47" s="2" t="inlineStr">
        <is>
          <t>Gullpudra
Granbarkgnagare</t>
        </is>
      </c>
      <c r="V47">
        <f>HYPERLINK("https://klasma.github.io/Logging_0181/artfynd/A 55941-2023 artfynd.xlsx", "A 55941-2023")</f>
        <v/>
      </c>
      <c r="W47">
        <f>HYPERLINK("https://klasma.github.io/Logging_0181/kartor/A 55941-2023 karta.png", "A 55941-2023")</f>
        <v/>
      </c>
      <c r="Y47">
        <f>HYPERLINK("https://klasma.github.io/Logging_0181/klagomål/A 55941-2023 FSC-klagomål.docx", "A 55941-2023")</f>
        <v/>
      </c>
      <c r="Z47">
        <f>HYPERLINK("https://klasma.github.io/Logging_0181/klagomålsmail/A 55941-2023 FSC-klagomål mail.docx", "A 55941-2023")</f>
        <v/>
      </c>
      <c r="AA47">
        <f>HYPERLINK("https://klasma.github.io/Logging_0181/tillsyn/A 55941-2023 tillsynsbegäran.docx", "A 55941-2023")</f>
        <v/>
      </c>
      <c r="AB47">
        <f>HYPERLINK("https://klasma.github.io/Logging_0181/tillsynsmail/A 55941-2023 tillsynsbegäran mail.docx", "A 55941-2023")</f>
        <v/>
      </c>
    </row>
    <row r="48" ht="15" customHeight="1">
      <c r="A48" t="inlineStr">
        <is>
          <t>A 43525-2023</t>
        </is>
      </c>
      <c r="B48" t="inlineStr">
        <is>
          <t>avverkningsanmälan</t>
        </is>
      </c>
      <c r="C48" t="inlineStr">
        <is>
          <t>Föryngringsavverkning</t>
        </is>
      </c>
      <c r="D48" s="1" t="n">
        <v>45184</v>
      </c>
      <c r="E48" s="1" t="n">
        <v>46222</v>
      </c>
      <c r="F48" t="inlineStr">
        <is>
          <t>STOCKHOLMS LÄN</t>
        </is>
      </c>
      <c r="G48" t="inlineStr">
        <is>
          <t>SÖDERTÄLJE</t>
        </is>
      </c>
      <c r="H48" t="inlineStr">
        <is>
          <t>Sveaskog</t>
        </is>
      </c>
      <c r="I48" t="n">
        <v>3.7</v>
      </c>
      <c r="J48" t="n">
        <v>1</v>
      </c>
      <c r="K48" t="n">
        <v>0</v>
      </c>
      <c r="L48" t="n">
        <v>1</v>
      </c>
      <c r="M48" t="n">
        <v>0</v>
      </c>
      <c r="N48" t="n">
        <v>0</v>
      </c>
      <c r="O48" t="n">
        <v>0</v>
      </c>
      <c r="P48" t="n">
        <v>0</v>
      </c>
      <c r="Q48" t="n">
        <v>1</v>
      </c>
      <c r="R48" t="n">
        <v>0</v>
      </c>
      <c r="S48" t="n">
        <v>2</v>
      </c>
      <c r="T48" t="n">
        <v>6</v>
      </c>
      <c r="U48" s="2" t="inlineStr">
        <is>
          <t>Slåtterfibbla
Fläcknycklar</t>
        </is>
      </c>
      <c r="V48">
        <f>HYPERLINK("https://klasma.github.io/Logging_0181/artfynd/A 43525-2023 artfynd.xlsx", "A 43525-2023")</f>
        <v/>
      </c>
      <c r="W48">
        <f>HYPERLINK("https://klasma.github.io/Logging_0181/kartor/A 43525-2023 karta.png", "A 43525-2023")</f>
        <v/>
      </c>
      <c r="Y48">
        <f>HYPERLINK("https://klasma.github.io/Logging_0181/klagomål/A 43525-2023 FSC-klagomål.docx", "A 43525-2023")</f>
        <v/>
      </c>
      <c r="Z48">
        <f>HYPERLINK("https://klasma.github.io/Logging_0181/klagomålsmail/A 43525-2023 FSC-klagomål mail.docx", "A 43525-2023")</f>
        <v/>
      </c>
      <c r="AA48">
        <f>HYPERLINK("https://klasma.github.io/Logging_0181/tillsyn/A 43525-2023 tillsynsbegäran.docx", "A 43525-2023")</f>
        <v/>
      </c>
      <c r="AB48">
        <f>HYPERLINK("https://klasma.github.io/Logging_0181/tillsynsmail/A 43525-2023 tillsynsbegäran mail.docx", "A 43525-2023")</f>
        <v/>
      </c>
    </row>
    <row r="49" ht="15" customHeight="1">
      <c r="A49" t="inlineStr">
        <is>
          <t>S 6027-2022</t>
        </is>
      </c>
      <c r="B49" t="inlineStr">
        <is>
          <t>samrådsanmälan</t>
        </is>
      </c>
      <c r="C49" t="inlineStr">
        <is>
          <t>Annan skogsbruksåtgärd</t>
        </is>
      </c>
      <c r="D49" s="1" t="n">
        <v>44859</v>
      </c>
      <c r="E49" s="1" t="n">
        <v>46222</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s="2" t="inlineStr">
        <is>
          <t>Rynkskinn
Revlummer</t>
        </is>
      </c>
      <c r="V49">
        <f>HYPERLINK("https://klasma.github.io/Logging_0181/artfynd/S 6027-2022 artfynd.xlsx", "S 6027-2022")</f>
        <v/>
      </c>
      <c r="W49">
        <f>HYPERLINK("https://klasma.github.io/Logging_0181/kartor/S 6027-2022 karta.png", "S 6027-2022")</f>
        <v/>
      </c>
      <c r="Y49">
        <f>HYPERLINK("https://klasma.github.io/Logging_0181/klagomål/S 6027-2022 FSC-klagomål.docx", "S 6027-2022")</f>
        <v/>
      </c>
      <c r="Z49">
        <f>HYPERLINK("https://klasma.github.io/Logging_0181/klagomålsmail/S 6027-2022 FSC-klagomål mail.docx", "S 6027-2022")</f>
        <v/>
      </c>
      <c r="AA49">
        <f>HYPERLINK("https://klasma.github.io/Logging_0181/tillsyn/S 6027-2022 tillsynsbegäran.docx", "S 6027-2022")</f>
        <v/>
      </c>
      <c r="AB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46222</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s="2" t="inlineStr">
        <is>
          <t>Knärot</t>
        </is>
      </c>
      <c r="V50">
        <f>HYPERLINK("https://klasma.github.io/Logging_0181/artfynd/A 40816-2022 artfynd.xlsx", "A 40816-2022")</f>
        <v/>
      </c>
      <c r="W50">
        <f>HYPERLINK("https://klasma.github.io/Logging_0181/kartor/A 40816-2022 karta.png", "A 40816-2022")</f>
        <v/>
      </c>
      <c r="X50">
        <f>HYPERLINK("https://klasma.github.io/Logging_0181/knärot/A 40816-2022 karta knärot.png", "A 40816-2022")</f>
        <v/>
      </c>
      <c r="Y50">
        <f>HYPERLINK("https://klasma.github.io/Logging_0181/klagomål/A 40816-2022 FSC-klagomål.docx", "A 40816-2022")</f>
        <v/>
      </c>
      <c r="Z50">
        <f>HYPERLINK("https://klasma.github.io/Logging_0181/klagomålsmail/A 40816-2022 FSC-klagomål mail.docx", "A 40816-2022")</f>
        <v/>
      </c>
      <c r="AA50">
        <f>HYPERLINK("https://klasma.github.io/Logging_0181/tillsyn/A 40816-2022 tillsynsbegäran.docx", "A 40816-2022")</f>
        <v/>
      </c>
      <c r="AB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46222</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s="2" t="inlineStr">
        <is>
          <t>Rödgul trumpetsvamp</t>
        </is>
      </c>
      <c r="V51">
        <f>HYPERLINK("https://klasma.github.io/Logging_0181/artfynd/A 38452-2022 artfynd.xlsx", "A 38452-2022")</f>
        <v/>
      </c>
      <c r="W51">
        <f>HYPERLINK("https://klasma.github.io/Logging_0181/kartor/A 38452-2022 karta.png", "A 38452-2022")</f>
        <v/>
      </c>
      <c r="Y51">
        <f>HYPERLINK("https://klasma.github.io/Logging_0181/klagomål/A 38452-2022 FSC-klagomål.docx", "A 38452-2022")</f>
        <v/>
      </c>
      <c r="Z51">
        <f>HYPERLINK("https://klasma.github.io/Logging_0181/klagomålsmail/A 38452-2022 FSC-klagomål mail.docx", "A 38452-2022")</f>
        <v/>
      </c>
      <c r="AA51">
        <f>HYPERLINK("https://klasma.github.io/Logging_0181/tillsyn/A 38452-2022 tillsynsbegäran.docx", "A 38452-2022")</f>
        <v/>
      </c>
      <c r="AB51">
        <f>HYPERLINK("https://klasma.github.io/Logging_0181/tillsynsmail/A 38452-2022 tillsynsbegäran mail.docx", "A 38452-2022")</f>
        <v/>
      </c>
    </row>
    <row r="52" ht="15" customHeight="1">
      <c r="A52" t="inlineStr">
        <is>
          <t>A 12968-2024</t>
        </is>
      </c>
      <c r="B52" t="inlineStr">
        <is>
          <t>avverkningsanmälan</t>
        </is>
      </c>
      <c r="C52" t="inlineStr">
        <is>
          <t>Föryngringsavverkning</t>
        </is>
      </c>
      <c r="D52" s="1" t="n">
        <v>45385</v>
      </c>
      <c r="E52" s="1" t="n">
        <v>46222</v>
      </c>
      <c r="F52" t="inlineStr">
        <is>
          <t>STOCKHOLMS LÄN</t>
        </is>
      </c>
      <c r="G52" t="inlineStr">
        <is>
          <t>SÖDERTÄLJE</t>
        </is>
      </c>
      <c r="H52" t="inlineStr">
        <is>
          <t>Kommuner</t>
        </is>
      </c>
      <c r="I52" t="n">
        <v>5.5</v>
      </c>
      <c r="J52" t="n">
        <v>0</v>
      </c>
      <c r="K52" t="n">
        <v>0</v>
      </c>
      <c r="L52" t="n">
        <v>0</v>
      </c>
      <c r="M52" t="n">
        <v>0</v>
      </c>
      <c r="N52" t="n">
        <v>1</v>
      </c>
      <c r="O52" t="n">
        <v>0</v>
      </c>
      <c r="P52" t="n">
        <v>0</v>
      </c>
      <c r="Q52" t="n">
        <v>1</v>
      </c>
      <c r="R52" t="n">
        <v>1</v>
      </c>
      <c r="S52" t="n">
        <v>1</v>
      </c>
      <c r="T52" t="n">
        <v>6</v>
      </c>
      <c r="U52" s="2" t="inlineStr">
        <is>
          <t>Ask</t>
        </is>
      </c>
      <c r="V52">
        <f>HYPERLINK("https://klasma.github.io/Logging_0181/artfynd/A 12968-2024 artfynd.xlsx", "A 12968-2024")</f>
        <v/>
      </c>
      <c r="W52">
        <f>HYPERLINK("https://klasma.github.io/Logging_0181/kartor/A 12968-2024 karta.png", "A 12968-2024")</f>
        <v/>
      </c>
      <c r="Y52">
        <f>HYPERLINK("https://klasma.github.io/Logging_0181/klagomål/A 12968-2024 FSC-klagomål.docx", "A 12968-2024")</f>
        <v/>
      </c>
      <c r="Z52">
        <f>HYPERLINK("https://klasma.github.io/Logging_0181/klagomålsmail/A 12968-2024 FSC-klagomål mail.docx", "A 12968-2024")</f>
        <v/>
      </c>
      <c r="AA52">
        <f>HYPERLINK("https://klasma.github.io/Logging_0181/tillsyn/A 12968-2024 tillsynsbegäran.docx", "A 12968-2024")</f>
        <v/>
      </c>
      <c r="AB52">
        <f>HYPERLINK("https://klasma.github.io/Logging_0181/tillsynsmail/A 12968-2024 tillsynsbegäran mail.docx", "A 12968-2024")</f>
        <v/>
      </c>
    </row>
    <row r="53" ht="15" customHeight="1">
      <c r="A53" t="inlineStr">
        <is>
          <t>A 41702-2025</t>
        </is>
      </c>
      <c r="B53" t="inlineStr">
        <is>
          <t>avverkningsanmälan</t>
        </is>
      </c>
      <c r="C53" t="inlineStr">
        <is>
          <t>Föryngringsavverkning</t>
        </is>
      </c>
      <c r="D53" s="1" t="n">
        <v>45902</v>
      </c>
      <c r="E53" s="1" t="n">
        <v>46222</v>
      </c>
      <c r="F53" t="inlineStr">
        <is>
          <t>STOCKHOLMS LÄN</t>
        </is>
      </c>
      <c r="G53" t="inlineStr">
        <is>
          <t>SÖDERTÄLJE</t>
        </is>
      </c>
      <c r="I53" t="n">
        <v>2.1</v>
      </c>
      <c r="J53" t="n">
        <v>1</v>
      </c>
      <c r="K53" t="n">
        <v>0</v>
      </c>
      <c r="L53" t="n">
        <v>1</v>
      </c>
      <c r="M53" t="n">
        <v>0</v>
      </c>
      <c r="N53" t="n">
        <v>0</v>
      </c>
      <c r="O53" t="n">
        <v>0</v>
      </c>
      <c r="P53" t="n">
        <v>0</v>
      </c>
      <c r="Q53" t="n">
        <v>1</v>
      </c>
      <c r="R53" t="n">
        <v>0</v>
      </c>
      <c r="S53" t="n">
        <v>1</v>
      </c>
      <c r="T53" t="n">
        <v>1</v>
      </c>
      <c r="U53" s="2" t="inlineStr">
        <is>
          <t>Björktrast</t>
        </is>
      </c>
      <c r="V53">
        <f>HYPERLINK("https://klasma.github.io/Logging_0181/artfynd/A 41702-2025 artfynd.xlsx", "A 41702-2025")</f>
        <v/>
      </c>
      <c r="W53">
        <f>HYPERLINK("https://klasma.github.io/Logging_0181/kartor/A 41702-2025 karta.png", "A 41702-2025")</f>
        <v/>
      </c>
      <c r="Y53">
        <f>HYPERLINK("https://klasma.github.io/Logging_0181/klagomål/A 41702-2025 FSC-klagomål.docx", "A 41702-2025")</f>
        <v/>
      </c>
      <c r="Z53">
        <f>HYPERLINK("https://klasma.github.io/Logging_0181/klagomålsmail/A 41702-2025 FSC-klagomål mail.docx", "A 41702-2025")</f>
        <v/>
      </c>
      <c r="AA53">
        <f>HYPERLINK("https://klasma.github.io/Logging_0181/tillsyn/A 41702-2025 tillsynsbegäran.docx", "A 41702-2025")</f>
        <v/>
      </c>
      <c r="AB53">
        <f>HYPERLINK("https://klasma.github.io/Logging_0181/tillsynsmail/A 41702-2025 tillsynsbegäran mail.docx", "A 41702-2025")</f>
        <v/>
      </c>
      <c r="AC53">
        <f>HYPERLINK("https://klasma.github.io/Logging_0181/fåglar/A 41702-2025 prioriterade fågelarter.docx", "A 41702-2025")</f>
        <v/>
      </c>
    </row>
    <row r="54" ht="15" customHeight="1">
      <c r="A54" t="inlineStr">
        <is>
          <t>A 36502-2025</t>
        </is>
      </c>
      <c r="B54" t="inlineStr">
        <is>
          <t>avverkningsanmälan</t>
        </is>
      </c>
      <c r="C54" t="inlineStr">
        <is>
          <t>Föryngringsavverkning</t>
        </is>
      </c>
      <c r="D54" s="1" t="n">
        <v>45869</v>
      </c>
      <c r="E54" s="1" t="n">
        <v>46222</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s="2" t="inlineStr">
        <is>
          <t>Tjäder</t>
        </is>
      </c>
      <c r="V54">
        <f>HYPERLINK("https://klasma.github.io/Logging_0181/artfynd/A 36502-2025 artfynd.xlsx", "A 36502-2025")</f>
        <v/>
      </c>
      <c r="W54">
        <f>HYPERLINK("https://klasma.github.io/Logging_0181/kartor/A 36502-2025 karta.png", "A 36502-2025")</f>
        <v/>
      </c>
      <c r="Y54">
        <f>HYPERLINK("https://klasma.github.io/Logging_0181/klagomål/A 36502-2025 FSC-klagomål.docx", "A 36502-2025")</f>
        <v/>
      </c>
      <c r="Z54">
        <f>HYPERLINK("https://klasma.github.io/Logging_0181/klagomålsmail/A 36502-2025 FSC-klagomål mail.docx", "A 36502-2025")</f>
        <v/>
      </c>
      <c r="AA54">
        <f>HYPERLINK("https://klasma.github.io/Logging_0181/tillsyn/A 36502-2025 tillsynsbegäran.docx", "A 36502-2025")</f>
        <v/>
      </c>
      <c r="AB54">
        <f>HYPERLINK("https://klasma.github.io/Logging_0181/tillsynsmail/A 36502-2025 tillsynsbegäran mail.docx", "A 36502-2025")</f>
        <v/>
      </c>
      <c r="AC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46222</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s="2" t="inlineStr">
        <is>
          <t>Mattlummer</t>
        </is>
      </c>
      <c r="V55">
        <f>HYPERLINK("https://klasma.github.io/Logging_0181/artfynd/A 36505-2025 artfynd.xlsx", "A 36505-2025")</f>
        <v/>
      </c>
      <c r="W55">
        <f>HYPERLINK("https://klasma.github.io/Logging_0181/kartor/A 36505-2025 karta.png", "A 36505-2025")</f>
        <v/>
      </c>
      <c r="Y55">
        <f>HYPERLINK("https://klasma.github.io/Logging_0181/klagomål/A 36505-2025 FSC-klagomål.docx", "A 36505-2025")</f>
        <v/>
      </c>
      <c r="Z55">
        <f>HYPERLINK("https://klasma.github.io/Logging_0181/klagomålsmail/A 36505-2025 FSC-klagomål mail.docx", "A 36505-2025")</f>
        <v/>
      </c>
      <c r="AA55">
        <f>HYPERLINK("https://klasma.github.io/Logging_0181/tillsyn/A 36505-2025 tillsynsbegäran.docx", "A 36505-2025")</f>
        <v/>
      </c>
      <c r="AB55">
        <f>HYPERLINK("https://klasma.github.io/Logging_0181/tillsynsmail/A 36505-2025 tillsynsbegäran mail.docx", "A 36505-2025")</f>
        <v/>
      </c>
    </row>
    <row r="56" ht="15" customHeight="1">
      <c r="A56" t="inlineStr">
        <is>
          <t>A 32044-2023</t>
        </is>
      </c>
      <c r="B56" t="inlineStr">
        <is>
          <t>avverkningsanmälan</t>
        </is>
      </c>
      <c r="C56" t="inlineStr">
        <is>
          <t>Föryngringsavverkning</t>
        </is>
      </c>
      <c r="D56" s="1" t="n">
        <v>45119</v>
      </c>
      <c r="E56" s="1" t="n">
        <v>46222</v>
      </c>
      <c r="F56" t="inlineStr">
        <is>
          <t>STOCKHOLMS LÄN</t>
        </is>
      </c>
      <c r="G56" t="inlineStr">
        <is>
          <t>SÖDERTÄLJE</t>
        </is>
      </c>
      <c r="H56" t="inlineStr">
        <is>
          <t>Sveaskog</t>
        </is>
      </c>
      <c r="I56" t="n">
        <v>1.1</v>
      </c>
      <c r="J56" t="n">
        <v>0</v>
      </c>
      <c r="K56" t="n">
        <v>0</v>
      </c>
      <c r="L56" t="n">
        <v>1</v>
      </c>
      <c r="M56" t="n">
        <v>0</v>
      </c>
      <c r="N56" t="n">
        <v>0</v>
      </c>
      <c r="O56" t="n">
        <v>0</v>
      </c>
      <c r="P56" t="n">
        <v>0</v>
      </c>
      <c r="Q56" t="n">
        <v>1</v>
      </c>
      <c r="R56" t="n">
        <v>0</v>
      </c>
      <c r="S56" t="n">
        <v>1</v>
      </c>
      <c r="T56" t="n">
        <v>2</v>
      </c>
      <c r="U56" s="2" t="inlineStr">
        <is>
          <t>Slåtterfibbla</t>
        </is>
      </c>
      <c r="V56">
        <f>HYPERLINK("https://klasma.github.io/Logging_0181/artfynd/A 32044-2023 artfynd.xlsx", "A 32044-2023")</f>
        <v/>
      </c>
      <c r="W56">
        <f>HYPERLINK("https://klasma.github.io/Logging_0181/kartor/A 32044-2023 karta.png", "A 32044-2023")</f>
        <v/>
      </c>
      <c r="Y56">
        <f>HYPERLINK("https://klasma.github.io/Logging_0181/klagomål/A 32044-2023 FSC-klagomål.docx", "A 32044-2023")</f>
        <v/>
      </c>
      <c r="Z56">
        <f>HYPERLINK("https://klasma.github.io/Logging_0181/klagomålsmail/A 32044-2023 FSC-klagomål mail.docx", "A 32044-2023")</f>
        <v/>
      </c>
      <c r="AA56">
        <f>HYPERLINK("https://klasma.github.io/Logging_0181/tillsyn/A 32044-2023 tillsynsbegäran.docx", "A 32044-2023")</f>
        <v/>
      </c>
      <c r="AB56">
        <f>HYPERLINK("https://klasma.github.io/Logging_0181/tillsynsmail/A 32044-2023 tillsynsbegäran mail.docx", "A 32044-2023")</f>
        <v/>
      </c>
    </row>
    <row r="57" ht="15" customHeight="1">
      <c r="A57" t="inlineStr">
        <is>
          <t>A 52046-2022</t>
        </is>
      </c>
      <c r="B57" t="inlineStr">
        <is>
          <t>avverkningsanmälan</t>
        </is>
      </c>
      <c r="C57" t="inlineStr">
        <is>
          <t>Föryngringsavverkning</t>
        </is>
      </c>
      <c r="D57" s="1" t="n">
        <v>44868</v>
      </c>
      <c r="E57" s="1" t="n">
        <v>46222</v>
      </c>
      <c r="F57" t="inlineStr">
        <is>
          <t>STOCKHOLMS LÄN</t>
        </is>
      </c>
      <c r="G57" t="inlineStr">
        <is>
          <t>SÖDERTÄLJE</t>
        </is>
      </c>
      <c r="H57" t="inlineStr">
        <is>
          <t>Kommuner</t>
        </is>
      </c>
      <c r="I57" t="n">
        <v>8.4</v>
      </c>
      <c r="J57" t="n">
        <v>0</v>
      </c>
      <c r="K57" t="n">
        <v>0</v>
      </c>
      <c r="L57" t="n">
        <v>1</v>
      </c>
      <c r="M57" t="n">
        <v>0</v>
      </c>
      <c r="N57" t="n">
        <v>0</v>
      </c>
      <c r="O57" t="n">
        <v>0</v>
      </c>
      <c r="P57" t="n">
        <v>0</v>
      </c>
      <c r="Q57" t="n">
        <v>1</v>
      </c>
      <c r="R57" t="n">
        <v>0</v>
      </c>
      <c r="S57" t="n">
        <v>1</v>
      </c>
      <c r="T57" t="n">
        <v>1</v>
      </c>
      <c r="U57" s="2" t="inlineStr">
        <is>
          <t>Tjockfotad fingersvamp</t>
        </is>
      </c>
      <c r="V57">
        <f>HYPERLINK("https://klasma.github.io/Logging_0181/artfynd/A 52046-2022 artfynd.xlsx", "A 52046-2022")</f>
        <v/>
      </c>
      <c r="W57">
        <f>HYPERLINK("https://klasma.github.io/Logging_0181/kartor/A 52046-2022 karta.png", "A 52046-2022")</f>
        <v/>
      </c>
      <c r="Y57">
        <f>HYPERLINK("https://klasma.github.io/Logging_0181/klagomål/A 52046-2022 FSC-klagomål.docx", "A 52046-2022")</f>
        <v/>
      </c>
      <c r="Z57">
        <f>HYPERLINK("https://klasma.github.io/Logging_0181/klagomålsmail/A 52046-2022 FSC-klagomål mail.docx", "A 52046-2022")</f>
        <v/>
      </c>
      <c r="AA57">
        <f>HYPERLINK("https://klasma.github.io/Logging_0181/tillsyn/A 52046-2022 tillsynsbegäran.docx", "A 52046-2022")</f>
        <v/>
      </c>
      <c r="AB57">
        <f>HYPERLINK("https://klasma.github.io/Logging_0181/tillsynsmail/A 52046-2022 tillsynsbegäran mail.docx", "A 52046-2022")</f>
        <v/>
      </c>
    </row>
    <row r="58" ht="15" customHeight="1">
      <c r="A58" t="inlineStr">
        <is>
          <t>A 14092-2023</t>
        </is>
      </c>
      <c r="B58" t="inlineStr">
        <is>
          <t>avverkningsanmälan</t>
        </is>
      </c>
      <c r="C58" t="inlineStr">
        <is>
          <t>Föryngringsavverkning</t>
        </is>
      </c>
      <c r="D58" s="1" t="n">
        <v>45009</v>
      </c>
      <c r="E58" s="1" t="n">
        <v>46222</v>
      </c>
      <c r="F58" t="inlineStr">
        <is>
          <t>STOCKHOLMS LÄN</t>
        </is>
      </c>
      <c r="G58" t="inlineStr">
        <is>
          <t>SÖDERTÄLJE</t>
        </is>
      </c>
      <c r="H58" t="inlineStr">
        <is>
          <t>Kyrkan</t>
        </is>
      </c>
      <c r="I58" t="n">
        <v>4.1</v>
      </c>
      <c r="J58" t="n">
        <v>1</v>
      </c>
      <c r="K58" t="n">
        <v>0</v>
      </c>
      <c r="L58" t="n">
        <v>0</v>
      </c>
      <c r="M58" t="n">
        <v>0</v>
      </c>
      <c r="N58" t="n">
        <v>0</v>
      </c>
      <c r="O58" t="n">
        <v>0</v>
      </c>
      <c r="P58" t="n">
        <v>0</v>
      </c>
      <c r="Q58" t="n">
        <v>0</v>
      </c>
      <c r="R58" t="n">
        <v>0</v>
      </c>
      <c r="S58" t="n">
        <v>1</v>
      </c>
      <c r="T58" t="n">
        <v>1</v>
      </c>
      <c r="U58" s="2" t="inlineStr">
        <is>
          <t>Kungsfågel</t>
        </is>
      </c>
      <c r="V58">
        <f>HYPERLINK("https://klasma.github.io/Logging_0181/artfynd/A 14092-2023 artfynd.xlsx", "A 14092-2023")</f>
        <v/>
      </c>
      <c r="W58">
        <f>HYPERLINK("https://klasma.github.io/Logging_0181/kartor/A 14092-2023 karta.png", "A 14092-2023")</f>
        <v/>
      </c>
      <c r="Y58">
        <f>HYPERLINK("https://klasma.github.io/Logging_0181/klagomål/A 14092-2023 FSC-klagomål.docx", "A 14092-2023")</f>
        <v/>
      </c>
      <c r="Z58">
        <f>HYPERLINK("https://klasma.github.io/Logging_0181/klagomålsmail/A 14092-2023 FSC-klagomål mail.docx", "A 14092-2023")</f>
        <v/>
      </c>
      <c r="AA58">
        <f>HYPERLINK("https://klasma.github.io/Logging_0181/tillsyn/A 14092-2023 tillsynsbegäran.docx", "A 14092-2023")</f>
        <v/>
      </c>
      <c r="AB58">
        <f>HYPERLINK("https://klasma.github.io/Logging_0181/tillsynsmail/A 14092-2023 tillsynsbegäran mail.docx", "A 14092-2023")</f>
        <v/>
      </c>
    </row>
    <row r="59" ht="15" customHeight="1">
      <c r="A59" t="inlineStr">
        <is>
          <t>A 19793-2024</t>
        </is>
      </c>
      <c r="B59" t="inlineStr">
        <is>
          <t>avverkningsanmälan</t>
        </is>
      </c>
      <c r="C59" t="inlineStr">
        <is>
          <t>Avverkning för annat ändamål</t>
        </is>
      </c>
      <c r="D59" s="1" t="n">
        <v>45432</v>
      </c>
      <c r="E59" s="1" t="n">
        <v>46222</v>
      </c>
      <c r="F59" t="inlineStr">
        <is>
          <t>STOCKHOLMS LÄN</t>
        </is>
      </c>
      <c r="G59" t="inlineStr">
        <is>
          <t>SÖDERTÄLJE</t>
        </is>
      </c>
      <c r="H59" t="inlineStr">
        <is>
          <t>Övriga Aktiebolag</t>
        </is>
      </c>
      <c r="I59" t="n">
        <v>4.1</v>
      </c>
      <c r="J59" t="n">
        <v>0</v>
      </c>
      <c r="K59" t="n">
        <v>0</v>
      </c>
      <c r="L59" t="n">
        <v>1</v>
      </c>
      <c r="M59" t="n">
        <v>0</v>
      </c>
      <c r="N59" t="n">
        <v>0</v>
      </c>
      <c r="O59" t="n">
        <v>0</v>
      </c>
      <c r="P59" t="n">
        <v>0</v>
      </c>
      <c r="Q59" t="n">
        <v>1</v>
      </c>
      <c r="R59" t="n">
        <v>0</v>
      </c>
      <c r="S59" t="n">
        <v>1</v>
      </c>
      <c r="T59" t="n">
        <v>1</v>
      </c>
      <c r="U59" s="2" t="inlineStr">
        <is>
          <t>Fjällig taggsvamp s.str.</t>
        </is>
      </c>
      <c r="V59">
        <f>HYPERLINK("https://klasma.github.io/Logging_0181/artfynd/A 19793-2024 artfynd.xlsx", "A 19793-2024")</f>
        <v/>
      </c>
      <c r="W59">
        <f>HYPERLINK("https://klasma.github.io/Logging_0181/kartor/A 19793-2024 karta.png", "A 19793-2024")</f>
        <v/>
      </c>
      <c r="Y59">
        <f>HYPERLINK("https://klasma.github.io/Logging_0181/klagomål/A 19793-2024 FSC-klagomål.docx", "A 19793-2024")</f>
        <v/>
      </c>
      <c r="Z59">
        <f>HYPERLINK("https://klasma.github.io/Logging_0181/klagomålsmail/A 19793-2024 FSC-klagomål mail.docx", "A 19793-2024")</f>
        <v/>
      </c>
      <c r="AA59">
        <f>HYPERLINK("https://klasma.github.io/Logging_0181/tillsyn/A 19793-2024 tillsynsbegäran.docx", "A 19793-2024")</f>
        <v/>
      </c>
      <c r="AB59">
        <f>HYPERLINK("https://klasma.github.io/Logging_0181/tillsynsmail/A 19793-2024 tillsynsbegäran mail.docx", "A 19793-2024")</f>
        <v/>
      </c>
    </row>
    <row r="60" ht="15" customHeight="1">
      <c r="A60" t="inlineStr">
        <is>
          <t>A 56596-2023</t>
        </is>
      </c>
      <c r="B60" t="inlineStr">
        <is>
          <t>avverkningsanmälan</t>
        </is>
      </c>
      <c r="C60" t="inlineStr">
        <is>
          <t>Föryngringsavverkning</t>
        </is>
      </c>
      <c r="D60" s="1" t="n">
        <v>45243</v>
      </c>
      <c r="E60" s="1" t="n">
        <v>46222</v>
      </c>
      <c r="F60" t="inlineStr">
        <is>
          <t>STOCKHOLMS LÄN</t>
        </is>
      </c>
      <c r="G60" t="inlineStr">
        <is>
          <t>SÖDERTÄLJE</t>
        </is>
      </c>
      <c r="I60" t="n">
        <v>1.6</v>
      </c>
      <c r="J60" t="n">
        <v>0</v>
      </c>
      <c r="K60" t="n">
        <v>1</v>
      </c>
      <c r="L60" t="n">
        <v>0</v>
      </c>
      <c r="M60" t="n">
        <v>0</v>
      </c>
      <c r="N60" t="n">
        <v>0</v>
      </c>
      <c r="O60" t="n">
        <v>0</v>
      </c>
      <c r="P60" t="n">
        <v>0</v>
      </c>
      <c r="Q60" t="n">
        <v>0</v>
      </c>
      <c r="R60" t="n">
        <v>0</v>
      </c>
      <c r="S60" t="n">
        <v>1</v>
      </c>
      <c r="T60" t="n">
        <v>1</v>
      </c>
      <c r="U60" s="2" t="inlineStr">
        <is>
          <t>Jättesvampmal</t>
        </is>
      </c>
      <c r="V60">
        <f>HYPERLINK("https://klasma.github.io/Logging_0181/artfynd/A 56596-2023 artfynd.xlsx", "A 56596-2023")</f>
        <v/>
      </c>
      <c r="W60">
        <f>HYPERLINK("https://klasma.github.io/Logging_0181/kartor/A 56596-2023 karta.png", "A 56596-2023")</f>
        <v/>
      </c>
      <c r="Y60">
        <f>HYPERLINK("https://klasma.github.io/Logging_0181/klagomål/A 56596-2023 FSC-klagomål.docx", "A 56596-2023")</f>
        <v/>
      </c>
      <c r="Z60">
        <f>HYPERLINK("https://klasma.github.io/Logging_0181/klagomålsmail/A 56596-2023 FSC-klagomål mail.docx", "A 56596-2023")</f>
        <v/>
      </c>
      <c r="AA60">
        <f>HYPERLINK("https://klasma.github.io/Logging_0181/tillsyn/A 56596-2023 tillsynsbegäran.docx", "A 56596-2023")</f>
        <v/>
      </c>
      <c r="AB60">
        <f>HYPERLINK("https://klasma.github.io/Logging_0181/tillsynsmail/A 56596-2023 tillsynsbegäran mail.docx", "A 56596-2023")</f>
        <v/>
      </c>
    </row>
    <row r="61" ht="15" customHeight="1">
      <c r="A61" t="inlineStr">
        <is>
          <t>A 51087-2023</t>
        </is>
      </c>
      <c r="B61" t="inlineStr">
        <is>
          <t>avverkningsanmälan</t>
        </is>
      </c>
      <c r="C61" t="inlineStr">
        <is>
          <t>Föryngringsavverkning</t>
        </is>
      </c>
      <c r="D61" s="1" t="n">
        <v>45218</v>
      </c>
      <c r="E61" s="1" t="n">
        <v>46222</v>
      </c>
      <c r="F61" t="inlineStr">
        <is>
          <t>STOCKHOLMS LÄN</t>
        </is>
      </c>
      <c r="G61" t="inlineStr">
        <is>
          <t>SÖDERTÄLJE</t>
        </is>
      </c>
      <c r="I61" t="n">
        <v>4.2</v>
      </c>
      <c r="J61" t="n">
        <v>1</v>
      </c>
      <c r="K61" t="n">
        <v>0</v>
      </c>
      <c r="L61" t="n">
        <v>0</v>
      </c>
      <c r="M61" t="n">
        <v>0</v>
      </c>
      <c r="N61" t="n">
        <v>0</v>
      </c>
      <c r="O61" t="n">
        <v>0</v>
      </c>
      <c r="P61" t="n">
        <v>0</v>
      </c>
      <c r="Q61" t="n">
        <v>0</v>
      </c>
      <c r="R61" t="n">
        <v>0</v>
      </c>
      <c r="S61" t="n">
        <v>1</v>
      </c>
      <c r="T61" t="n">
        <v>1</v>
      </c>
      <c r="U61" s="2" t="inlineStr">
        <is>
          <t>Kopparödla</t>
        </is>
      </c>
      <c r="V61">
        <f>HYPERLINK("https://klasma.github.io/Logging_0181/artfynd/A 51087-2023 artfynd.xlsx", "A 51087-2023")</f>
        <v/>
      </c>
      <c r="W61">
        <f>HYPERLINK("https://klasma.github.io/Logging_0181/kartor/A 51087-2023 karta.png", "A 51087-2023")</f>
        <v/>
      </c>
      <c r="Y61">
        <f>HYPERLINK("https://klasma.github.io/Logging_0181/klagomål/A 51087-2023 FSC-klagomål.docx", "A 51087-2023")</f>
        <v/>
      </c>
      <c r="Z61">
        <f>HYPERLINK("https://klasma.github.io/Logging_0181/klagomålsmail/A 51087-2023 FSC-klagomål mail.docx", "A 51087-2023")</f>
        <v/>
      </c>
      <c r="AA61">
        <f>HYPERLINK("https://klasma.github.io/Logging_0181/tillsyn/A 51087-2023 tillsynsbegäran.docx", "A 51087-2023")</f>
        <v/>
      </c>
      <c r="AB61">
        <f>HYPERLINK("https://klasma.github.io/Logging_0181/tillsynsmail/A 51087-2023 tillsynsbegäran mail.docx", "A 51087-2023")</f>
        <v/>
      </c>
    </row>
    <row r="62" ht="15" customHeight="1">
      <c r="A62" t="inlineStr">
        <is>
          <t>A 1946-2022</t>
        </is>
      </c>
      <c r="B62" t="inlineStr">
        <is>
          <t>avverkningsanmälan</t>
        </is>
      </c>
      <c r="C62" t="inlineStr">
        <is>
          <t>Föryngringsavverkning</t>
        </is>
      </c>
      <c r="D62" s="1" t="n">
        <v>44575</v>
      </c>
      <c r="E62" s="1" t="n">
        <v>46222</v>
      </c>
      <c r="F62" t="inlineStr">
        <is>
          <t>STOCKHOLMS LÄN</t>
        </is>
      </c>
      <c r="G62" t="inlineStr">
        <is>
          <t>SÖDERTÄLJE</t>
        </is>
      </c>
      <c r="I62" t="n">
        <v>6.7</v>
      </c>
      <c r="J62" t="n">
        <v>1</v>
      </c>
      <c r="K62" t="n">
        <v>0</v>
      </c>
      <c r="L62" t="n">
        <v>0</v>
      </c>
      <c r="M62" t="n">
        <v>0</v>
      </c>
      <c r="N62" t="n">
        <v>0</v>
      </c>
      <c r="O62" t="n">
        <v>0</v>
      </c>
      <c r="P62" t="n">
        <v>0</v>
      </c>
      <c r="Q62" t="n">
        <v>0</v>
      </c>
      <c r="R62" t="n">
        <v>0</v>
      </c>
      <c r="S62" t="n">
        <v>1</v>
      </c>
      <c r="T62" t="n">
        <v>1</v>
      </c>
      <c r="U62" s="2" t="inlineStr">
        <is>
          <t>Större vattensalamander</t>
        </is>
      </c>
      <c r="V62">
        <f>HYPERLINK("https://klasma.github.io/Logging_0181/artfynd/A 1946-2022 artfynd.xlsx", "A 1946-2022")</f>
        <v/>
      </c>
      <c r="W62">
        <f>HYPERLINK("https://klasma.github.io/Logging_0181/kartor/A 1946-2022 karta.png", "A 1946-2022")</f>
        <v/>
      </c>
      <c r="Y62">
        <f>HYPERLINK("https://klasma.github.io/Logging_0181/klagomål/A 1946-2022 FSC-klagomål.docx", "A 1946-2022")</f>
        <v/>
      </c>
      <c r="Z62">
        <f>HYPERLINK("https://klasma.github.io/Logging_0181/klagomålsmail/A 1946-2022 FSC-klagomål mail.docx", "A 1946-2022")</f>
        <v/>
      </c>
      <c r="AA62">
        <f>HYPERLINK("https://klasma.github.io/Logging_0181/tillsyn/A 1946-2022 tillsynsbegäran.docx", "A 1946-2022")</f>
        <v/>
      </c>
      <c r="AB62">
        <f>HYPERLINK("https://klasma.github.io/Logging_0181/tillsynsmail/A 1946-2022 tillsynsbegäran mail.docx", "A 1946-2022")</f>
        <v/>
      </c>
    </row>
    <row r="63" ht="15" customHeight="1">
      <c r="A63" t="inlineStr">
        <is>
          <t>A 58928-2022</t>
        </is>
      </c>
      <c r="B63" t="inlineStr">
        <is>
          <t>avverkningsanmälan</t>
        </is>
      </c>
      <c r="C63" t="inlineStr">
        <is>
          <t>Föryngringsavverkning</t>
        </is>
      </c>
      <c r="D63" s="1" t="n">
        <v>44903</v>
      </c>
      <c r="E63" s="1" t="n">
        <v>46222</v>
      </c>
      <c r="F63" t="inlineStr">
        <is>
          <t>STOCKHOLMS LÄN</t>
        </is>
      </c>
      <c r="G63" t="inlineStr">
        <is>
          <t>SÖDERTÄLJE</t>
        </is>
      </c>
      <c r="H63" t="inlineStr">
        <is>
          <t>Kommuner</t>
        </is>
      </c>
      <c r="I63" t="n">
        <v>9.199999999999999</v>
      </c>
      <c r="J63" t="n">
        <v>0</v>
      </c>
      <c r="K63" t="n">
        <v>0</v>
      </c>
      <c r="L63" t="n">
        <v>0</v>
      </c>
      <c r="M63" t="n">
        <v>1</v>
      </c>
      <c r="N63" t="n">
        <v>0</v>
      </c>
      <c r="O63" t="n">
        <v>0</v>
      </c>
      <c r="P63" t="n">
        <v>0</v>
      </c>
      <c r="Q63" t="n">
        <v>1</v>
      </c>
      <c r="R63" t="n">
        <v>1</v>
      </c>
      <c r="S63" t="n">
        <v>1</v>
      </c>
      <c r="T63" t="n">
        <v>1</v>
      </c>
      <c r="U63" s="2" t="inlineStr">
        <is>
          <t>Bandnate</t>
        </is>
      </c>
      <c r="V63">
        <f>HYPERLINK("https://klasma.github.io/Logging_0181/artfynd/A 58928-2022 artfynd.xlsx", "A 58928-2022")</f>
        <v/>
      </c>
      <c r="W63">
        <f>HYPERLINK("https://klasma.github.io/Logging_0181/kartor/A 58928-2022 karta.png", "A 58928-2022")</f>
        <v/>
      </c>
      <c r="Y63">
        <f>HYPERLINK("https://klasma.github.io/Logging_0181/klagomål/A 58928-2022 FSC-klagomål.docx", "A 58928-2022")</f>
        <v/>
      </c>
      <c r="Z63">
        <f>HYPERLINK("https://klasma.github.io/Logging_0181/klagomålsmail/A 58928-2022 FSC-klagomål mail.docx", "A 58928-2022")</f>
        <v/>
      </c>
      <c r="AA63">
        <f>HYPERLINK("https://klasma.github.io/Logging_0181/tillsyn/A 58928-2022 tillsynsbegäran.docx", "A 58928-2022")</f>
        <v/>
      </c>
      <c r="AB63">
        <f>HYPERLINK("https://klasma.github.io/Logging_0181/tillsynsmail/A 58928-2022 tillsynsbegäran mail.docx", "A 58928-2022")</f>
        <v/>
      </c>
    </row>
    <row r="64" ht="15" customHeight="1">
      <c r="A64" t="inlineStr">
        <is>
          <t>A 26902-2024</t>
        </is>
      </c>
      <c r="B64" t="inlineStr">
        <is>
          <t>avverkningsanmälan</t>
        </is>
      </c>
      <c r="C64" t="inlineStr">
        <is>
          <t>Föryngringsavverkning</t>
        </is>
      </c>
      <c r="D64" s="1" t="n">
        <v>45470</v>
      </c>
      <c r="E64" s="1" t="n">
        <v>46222</v>
      </c>
      <c r="F64" t="inlineStr">
        <is>
          <t>STOCKHOLMS LÄN</t>
        </is>
      </c>
      <c r="G64" t="inlineStr">
        <is>
          <t>SÖDERTÄLJE</t>
        </is>
      </c>
      <c r="H64" t="inlineStr">
        <is>
          <t>Kommuner</t>
        </is>
      </c>
      <c r="I64" t="n">
        <v>3.5</v>
      </c>
      <c r="J64" t="n">
        <v>0</v>
      </c>
      <c r="K64" t="n">
        <v>0</v>
      </c>
      <c r="L64" t="n">
        <v>1</v>
      </c>
      <c r="M64" t="n">
        <v>0</v>
      </c>
      <c r="N64" t="n">
        <v>0</v>
      </c>
      <c r="O64" t="n">
        <v>0</v>
      </c>
      <c r="P64" t="n">
        <v>0</v>
      </c>
      <c r="Q64" t="n">
        <v>1</v>
      </c>
      <c r="R64" t="n">
        <v>0</v>
      </c>
      <c r="S64" t="n">
        <v>1</v>
      </c>
      <c r="T64" t="n">
        <v>3</v>
      </c>
      <c r="U64" s="2" t="inlineStr">
        <is>
          <t>Persiljespindling</t>
        </is>
      </c>
      <c r="V64">
        <f>HYPERLINK("https://klasma.github.io/Logging_0181/artfynd/A 26902-2024 artfynd.xlsx", "A 26902-2024")</f>
        <v/>
      </c>
      <c r="W64">
        <f>HYPERLINK("https://klasma.github.io/Logging_0181/kartor/A 26902-2024 karta.png", "A 26902-2024")</f>
        <v/>
      </c>
      <c r="Y64">
        <f>HYPERLINK("https://klasma.github.io/Logging_0181/klagomål/A 26902-2024 FSC-klagomål.docx", "A 26902-2024")</f>
        <v/>
      </c>
      <c r="Z64">
        <f>HYPERLINK("https://klasma.github.io/Logging_0181/klagomålsmail/A 26902-2024 FSC-klagomål mail.docx", "A 26902-2024")</f>
        <v/>
      </c>
      <c r="AA64">
        <f>HYPERLINK("https://klasma.github.io/Logging_0181/tillsyn/A 26902-2024 tillsynsbegäran.docx", "A 26902-2024")</f>
        <v/>
      </c>
      <c r="AB64">
        <f>HYPERLINK("https://klasma.github.io/Logging_0181/tillsynsmail/A 26902-2024 tillsynsbegäran mail.docx", "A 26902-2024")</f>
        <v/>
      </c>
    </row>
    <row r="65" ht="15" customHeight="1">
      <c r="A65" t="inlineStr">
        <is>
          <t>A 30565-2026</t>
        </is>
      </c>
      <c r="B65" t="inlineStr">
        <is>
          <t>avverkningsanmälan</t>
        </is>
      </c>
      <c r="C65" t="inlineStr">
        <is>
          <t>Föryngringsavverkning</t>
        </is>
      </c>
      <c r="D65" s="1" t="n">
        <v>46210</v>
      </c>
      <c r="E65" s="1" t="n">
        <v>46222</v>
      </c>
      <c r="F65" t="inlineStr">
        <is>
          <t>STOCKHOLMS LÄN</t>
        </is>
      </c>
      <c r="G65" t="inlineStr">
        <is>
          <t>SÖDERTÄLJE</t>
        </is>
      </c>
      <c r="H65" t="inlineStr">
        <is>
          <t>Sveaskog</t>
        </is>
      </c>
      <c r="I65" t="n">
        <v>2.4</v>
      </c>
      <c r="J65" t="n">
        <v>0</v>
      </c>
      <c r="K65" t="n">
        <v>0</v>
      </c>
      <c r="L65" t="n">
        <v>1</v>
      </c>
      <c r="M65" t="n">
        <v>0</v>
      </c>
      <c r="N65" t="n">
        <v>0</v>
      </c>
      <c r="O65" t="n">
        <v>0</v>
      </c>
      <c r="P65" t="n">
        <v>0</v>
      </c>
      <c r="Q65" t="n">
        <v>1</v>
      </c>
      <c r="R65" t="n">
        <v>0</v>
      </c>
      <c r="S65" t="n">
        <v>1</v>
      </c>
      <c r="T65" t="n">
        <v>1</v>
      </c>
      <c r="U65" s="2" t="inlineStr">
        <is>
          <t>Svinrot</t>
        </is>
      </c>
      <c r="V65">
        <f>HYPERLINK("https://klasma.github.io/Logging_0181/artfynd/A 30565-2026 artfynd.xlsx", "A 30565-2026")</f>
        <v/>
      </c>
      <c r="W65">
        <f>HYPERLINK("https://klasma.github.io/Logging_0181/kartor/A 30565-2026 karta.png", "A 30565-2026")</f>
        <v/>
      </c>
      <c r="Y65">
        <f>HYPERLINK("https://klasma.github.io/Logging_0181/klagomål/A 30565-2026 FSC-klagomål.docx", "A 30565-2026")</f>
        <v/>
      </c>
      <c r="Z65">
        <f>HYPERLINK("https://klasma.github.io/Logging_0181/klagomålsmail/A 30565-2026 FSC-klagomål mail.docx", "A 30565-2026")</f>
        <v/>
      </c>
      <c r="AA65">
        <f>HYPERLINK("https://klasma.github.io/Logging_0181/tillsyn/A 30565-2026 tillsynsbegäran.docx", "A 30565-2026")</f>
        <v/>
      </c>
      <c r="AB65">
        <f>HYPERLINK("https://klasma.github.io/Logging_0181/tillsynsmail/A 30565-2026 tillsynsbegäran mail.docx", "A 30565-2026")</f>
        <v/>
      </c>
    </row>
    <row r="66" ht="15" customHeight="1">
      <c r="A66" t="inlineStr">
        <is>
          <t>A 33892-2022</t>
        </is>
      </c>
      <c r="B66" t="inlineStr">
        <is>
          <t>avverkningsanmälan</t>
        </is>
      </c>
      <c r="C66" t="inlineStr">
        <is>
          <t>Föryngringsavverkning</t>
        </is>
      </c>
      <c r="D66" s="1" t="n">
        <v>44790</v>
      </c>
      <c r="E66" s="1" t="n">
        <v>46222</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s="2" t="inlineStr">
        <is>
          <t>Spillkråka</t>
        </is>
      </c>
      <c r="V66">
        <f>HYPERLINK("https://klasma.github.io/Logging_0181/artfynd/A 33892-2022 artfynd.xlsx", "A 33892-2022")</f>
        <v/>
      </c>
      <c r="W66">
        <f>HYPERLINK("https://klasma.github.io/Logging_0181/kartor/A 33892-2022 karta.png", "A 33892-2022")</f>
        <v/>
      </c>
      <c r="Y66">
        <f>HYPERLINK("https://klasma.github.io/Logging_0181/klagomål/A 33892-2022 FSC-klagomål.docx", "A 33892-2022")</f>
        <v/>
      </c>
      <c r="Z66">
        <f>HYPERLINK("https://klasma.github.io/Logging_0181/klagomålsmail/A 33892-2022 FSC-klagomål mail.docx", "A 33892-2022")</f>
        <v/>
      </c>
      <c r="AA66">
        <f>HYPERLINK("https://klasma.github.io/Logging_0181/tillsyn/A 33892-2022 tillsynsbegäran.docx", "A 33892-2022")</f>
        <v/>
      </c>
      <c r="AB66">
        <f>HYPERLINK("https://klasma.github.io/Logging_0181/tillsynsmail/A 33892-2022 tillsynsbegäran mail.docx", "A 33892-2022")</f>
        <v/>
      </c>
      <c r="AC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46222</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s="2" t="inlineStr">
        <is>
          <t>Rödvingetrast</t>
        </is>
      </c>
      <c r="V67">
        <f>HYPERLINK("https://klasma.github.io/Logging_0181/artfynd/A 23772-2025 artfynd.xlsx", "A 23772-2025")</f>
        <v/>
      </c>
      <c r="W67">
        <f>HYPERLINK("https://klasma.github.io/Logging_0181/kartor/A 23772-2025 karta.png", "A 23772-2025")</f>
        <v/>
      </c>
      <c r="Y67">
        <f>HYPERLINK("https://klasma.github.io/Logging_0181/klagomål/A 23772-2025 FSC-klagomål.docx", "A 23772-2025")</f>
        <v/>
      </c>
      <c r="Z67">
        <f>HYPERLINK("https://klasma.github.io/Logging_0181/klagomålsmail/A 23772-2025 FSC-klagomål mail.docx", "A 23772-2025")</f>
        <v/>
      </c>
      <c r="AA67">
        <f>HYPERLINK("https://klasma.github.io/Logging_0181/tillsyn/A 23772-2025 tillsynsbegäran.docx", "A 23772-2025")</f>
        <v/>
      </c>
      <c r="AB67">
        <f>HYPERLINK("https://klasma.github.io/Logging_0181/tillsynsmail/A 23772-2025 tillsynsbegäran mail.docx", "A 23772-2025")</f>
        <v/>
      </c>
      <c r="AC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46222</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s="2" t="inlineStr">
        <is>
          <t>Enkelbeckasin</t>
        </is>
      </c>
      <c r="V68">
        <f>HYPERLINK("https://klasma.github.io/Logging_0181/artfynd/S 2459-2025 artfynd.xlsx", "S 2459-2025")</f>
        <v/>
      </c>
      <c r="W68">
        <f>HYPERLINK("https://klasma.github.io/Logging_0181/kartor/S 2459-2025 karta.png", "S 2459-2025")</f>
        <v/>
      </c>
      <c r="Y68">
        <f>HYPERLINK("https://klasma.github.io/Logging_0181/klagomål/S 2459-2025 FSC-klagomål.docx", "S 2459-2025")</f>
        <v/>
      </c>
      <c r="Z68">
        <f>HYPERLINK("https://klasma.github.io/Logging_0181/klagomålsmail/S 2459-2025 FSC-klagomål mail.docx", "S 2459-2025")</f>
        <v/>
      </c>
      <c r="AA68">
        <f>HYPERLINK("https://klasma.github.io/Logging_0181/tillsyn/S 2459-2025 tillsynsbegäran.docx", "S 2459-2025")</f>
        <v/>
      </c>
      <c r="AB68">
        <f>HYPERLINK("https://klasma.github.io/Logging_0181/tillsynsmail/S 2459-2025 tillsynsbegäran mail.docx", "S 2459-2025")</f>
        <v/>
      </c>
      <c r="AC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46222</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s="2" t="inlineStr"/>
    </row>
    <row r="70" ht="15" customHeight="1">
      <c r="A70" t="inlineStr">
        <is>
          <t>A 52541-2022</t>
        </is>
      </c>
      <c r="B70" t="inlineStr">
        <is>
          <t>avverkningsanmälan</t>
        </is>
      </c>
      <c r="C70" t="inlineStr">
        <is>
          <t>Avverkning för annat ändamål</t>
        </is>
      </c>
      <c r="D70" s="1" t="n">
        <v>44874</v>
      </c>
      <c r="E70" s="1" t="n">
        <v>46222</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s="2" t="inlineStr"/>
    </row>
    <row r="71" ht="15" customHeight="1">
      <c r="A71" t="inlineStr">
        <is>
          <t>A 52214-2021</t>
        </is>
      </c>
      <c r="B71" t="inlineStr">
        <is>
          <t>avverkningsanmälan</t>
        </is>
      </c>
      <c r="C71" t="inlineStr">
        <is>
          <t>Föryngringsavverkning</t>
        </is>
      </c>
      <c r="D71" s="1" t="n">
        <v>44462</v>
      </c>
      <c r="E71" s="1" t="n">
        <v>46222</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s="2" t="inlineStr"/>
    </row>
    <row r="72" ht="15" customHeight="1">
      <c r="A72" t="inlineStr">
        <is>
          <t>A 3596-2022</t>
        </is>
      </c>
      <c r="B72" t="inlineStr">
        <is>
          <t>avverkningsanmälan</t>
        </is>
      </c>
      <c r="C72" t="inlineStr">
        <is>
          <t>Föryngringsavverkning</t>
        </is>
      </c>
      <c r="D72" s="1" t="n">
        <v>44586</v>
      </c>
      <c r="E72" s="1" t="n">
        <v>46222</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s="2" t="inlineStr"/>
    </row>
    <row r="73" ht="15" customHeight="1">
      <c r="A73" t="inlineStr">
        <is>
          <t>A 3592-2022</t>
        </is>
      </c>
      <c r="B73" t="inlineStr">
        <is>
          <t>avverkningsanmälan</t>
        </is>
      </c>
      <c r="C73" t="inlineStr">
        <is>
          <t>Föryngringsavverkning</t>
        </is>
      </c>
      <c r="D73" s="1" t="n">
        <v>44586</v>
      </c>
      <c r="E73" s="1" t="n">
        <v>46222</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s="2" t="inlineStr"/>
    </row>
    <row r="74" ht="15" customHeight="1">
      <c r="A74" t="inlineStr">
        <is>
          <t>A 51454-2021</t>
        </is>
      </c>
      <c r="B74" t="inlineStr">
        <is>
          <t>avverkningsanmälan</t>
        </is>
      </c>
      <c r="C74" t="inlineStr">
        <is>
          <t>Föryngringsavverkning</t>
        </is>
      </c>
      <c r="D74" s="1" t="n">
        <v>44460</v>
      </c>
      <c r="E74" s="1" t="n">
        <v>46222</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s="2" t="inlineStr"/>
    </row>
    <row r="75" ht="15" customHeight="1">
      <c r="A75" t="inlineStr">
        <is>
          <t>A 50117-2021</t>
        </is>
      </c>
      <c r="B75" t="inlineStr">
        <is>
          <t>avverkningsanmälan</t>
        </is>
      </c>
      <c r="C75" t="inlineStr">
        <is>
          <t>Föryngringsavverkning</t>
        </is>
      </c>
      <c r="D75" s="1" t="n">
        <v>44456</v>
      </c>
      <c r="E75" s="1" t="n">
        <v>46222</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s="2" t="inlineStr"/>
    </row>
    <row r="76" ht="15" customHeight="1">
      <c r="A76" t="inlineStr">
        <is>
          <t>A 39133-2021</t>
        </is>
      </c>
      <c r="B76" t="inlineStr">
        <is>
          <t>avverkningsanmälan</t>
        </is>
      </c>
      <c r="C76" t="inlineStr">
        <is>
          <t>Föryngringsavverkning</t>
        </is>
      </c>
      <c r="D76" s="1" t="n">
        <v>44412</v>
      </c>
      <c r="E76" s="1" t="n">
        <v>46222</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s="2" t="inlineStr"/>
    </row>
    <row r="77" ht="15" customHeight="1">
      <c r="A77" t="inlineStr">
        <is>
          <t>A 16437-2022</t>
        </is>
      </c>
      <c r="B77" t="inlineStr">
        <is>
          <t>avverkningsanmälan</t>
        </is>
      </c>
      <c r="C77" t="inlineStr">
        <is>
          <t>Föryngringsavverkning</t>
        </is>
      </c>
      <c r="D77" s="1" t="n">
        <v>44671</v>
      </c>
      <c r="E77" s="1" t="n">
        <v>46222</v>
      </c>
      <c r="F77" t="inlineStr">
        <is>
          <t>STOCKHOLMS LÄN</t>
        </is>
      </c>
      <c r="G77" t="inlineStr">
        <is>
          <t>SÖDERTÄLJE</t>
        </is>
      </c>
      <c r="I77" t="n">
        <v>1</v>
      </c>
      <c r="J77" t="n">
        <v>0</v>
      </c>
      <c r="K77" t="n">
        <v>0</v>
      </c>
      <c r="L77" t="n">
        <v>0</v>
      </c>
      <c r="M77" t="n">
        <v>0</v>
      </c>
      <c r="N77" t="n">
        <v>0</v>
      </c>
      <c r="O77" t="n">
        <v>0</v>
      </c>
      <c r="P77" t="n">
        <v>0</v>
      </c>
      <c r="Q77" t="n">
        <v>0</v>
      </c>
      <c r="R77" t="n">
        <v>0</v>
      </c>
      <c r="S77" t="n">
        <v>0</v>
      </c>
      <c r="T77" t="n">
        <v>0</v>
      </c>
      <c r="U77" s="2" t="inlineStr"/>
    </row>
    <row r="78" ht="15" customHeight="1">
      <c r="A78" t="inlineStr">
        <is>
          <t>A 31429-2022</t>
        </is>
      </c>
      <c r="B78" t="inlineStr">
        <is>
          <t>avverkningsanmälan</t>
        </is>
      </c>
      <c r="C78" t="inlineStr">
        <is>
          <t>Föryngringsavverkning</t>
        </is>
      </c>
      <c r="D78" s="1" t="n">
        <v>44774</v>
      </c>
      <c r="E78" s="1" t="n">
        <v>46222</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s="2" t="inlineStr"/>
    </row>
    <row r="79" ht="15" customHeight="1">
      <c r="A79" t="inlineStr">
        <is>
          <t>A 51482-2021</t>
        </is>
      </c>
      <c r="B79" t="inlineStr">
        <is>
          <t>avverkningsanmälan</t>
        </is>
      </c>
      <c r="C79" t="inlineStr">
        <is>
          <t>Föryngringsavverkning</t>
        </is>
      </c>
      <c r="D79" s="1" t="n">
        <v>44460</v>
      </c>
      <c r="E79" s="1" t="n">
        <v>46222</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s="2" t="inlineStr"/>
    </row>
    <row r="80" ht="15" customHeight="1">
      <c r="A80" t="inlineStr">
        <is>
          <t>A 18592-2023</t>
        </is>
      </c>
      <c r="B80" t="inlineStr">
        <is>
          <t>avverkningsanmälan</t>
        </is>
      </c>
      <c r="C80" t="inlineStr">
        <is>
          <t>Föryngringsavverkning</t>
        </is>
      </c>
      <c r="D80" s="1" t="n">
        <v>45043</v>
      </c>
      <c r="E80" s="1" t="n">
        <v>46222</v>
      </c>
      <c r="F80" t="inlineStr">
        <is>
          <t>STOCKHOLMS LÄN</t>
        </is>
      </c>
      <c r="G80" t="inlineStr">
        <is>
          <t>SÖDERTÄLJE</t>
        </is>
      </c>
      <c r="I80" t="n">
        <v>4.4</v>
      </c>
      <c r="J80" t="n">
        <v>0</v>
      </c>
      <c r="K80" t="n">
        <v>0</v>
      </c>
      <c r="L80" t="n">
        <v>0</v>
      </c>
      <c r="M80" t="n">
        <v>0</v>
      </c>
      <c r="N80" t="n">
        <v>0</v>
      </c>
      <c r="O80" t="n">
        <v>0</v>
      </c>
      <c r="P80" t="n">
        <v>0</v>
      </c>
      <c r="Q80" t="n">
        <v>0</v>
      </c>
      <c r="R80" t="n">
        <v>0</v>
      </c>
      <c r="S80" t="n">
        <v>0</v>
      </c>
      <c r="T80" t="n">
        <v>0</v>
      </c>
      <c r="U80" s="2" t="inlineStr"/>
    </row>
    <row r="81" ht="15" customHeight="1">
      <c r="A81" t="inlineStr">
        <is>
          <t>A 62311-2023</t>
        </is>
      </c>
      <c r="B81" t="inlineStr">
        <is>
          <t>avverkningsanmälan</t>
        </is>
      </c>
      <c r="C81" t="inlineStr">
        <is>
          <t>Föryngringsavverkning</t>
        </is>
      </c>
      <c r="D81" s="1" t="n">
        <v>45266</v>
      </c>
      <c r="E81" s="1" t="n">
        <v>46222</v>
      </c>
      <c r="F81" t="inlineStr">
        <is>
          <t>STOCKHOLMS LÄN</t>
        </is>
      </c>
      <c r="G81" t="inlineStr">
        <is>
          <t>SÖDERTÄLJE</t>
        </is>
      </c>
      <c r="I81" t="n">
        <v>7.2</v>
      </c>
      <c r="J81" t="n">
        <v>0</v>
      </c>
      <c r="K81" t="n">
        <v>0</v>
      </c>
      <c r="L81" t="n">
        <v>0</v>
      </c>
      <c r="M81" t="n">
        <v>0</v>
      </c>
      <c r="N81" t="n">
        <v>0</v>
      </c>
      <c r="O81" t="n">
        <v>0</v>
      </c>
      <c r="P81" t="n">
        <v>0</v>
      </c>
      <c r="Q81" t="n">
        <v>0</v>
      </c>
      <c r="R81" t="n">
        <v>0</v>
      </c>
      <c r="S81" t="n">
        <v>0</v>
      </c>
      <c r="T81" t="n">
        <v>0</v>
      </c>
      <c r="U81" s="2" t="inlineStr"/>
    </row>
    <row r="82" ht="15" customHeight="1">
      <c r="A82" t="inlineStr">
        <is>
          <t>A 36112-2022</t>
        </is>
      </c>
      <c r="B82" t="inlineStr">
        <is>
          <t>avverkningsanmälan</t>
        </is>
      </c>
      <c r="C82" t="inlineStr">
        <is>
          <t>Avverkning för annat ändamål</t>
        </is>
      </c>
      <c r="D82" s="1" t="n">
        <v>44802</v>
      </c>
      <c r="E82" s="1" t="n">
        <v>46222</v>
      </c>
      <c r="F82" t="inlineStr">
        <is>
          <t>STOCKHOLMS LÄN</t>
        </is>
      </c>
      <c r="G82" t="inlineStr">
        <is>
          <t>SÖDERTÄLJE</t>
        </is>
      </c>
      <c r="I82" t="n">
        <v>7.3</v>
      </c>
      <c r="J82" t="n">
        <v>0</v>
      </c>
      <c r="K82" t="n">
        <v>0</v>
      </c>
      <c r="L82" t="n">
        <v>0</v>
      </c>
      <c r="M82" t="n">
        <v>0</v>
      </c>
      <c r="N82" t="n">
        <v>0</v>
      </c>
      <c r="O82" t="n">
        <v>0</v>
      </c>
      <c r="P82" t="n">
        <v>0</v>
      </c>
      <c r="Q82" t="n">
        <v>0</v>
      </c>
      <c r="R82" t="n">
        <v>0</v>
      </c>
      <c r="S82" t="n">
        <v>0</v>
      </c>
      <c r="T82" t="n">
        <v>0</v>
      </c>
      <c r="U82" s="2" t="inlineStr"/>
    </row>
    <row r="83" ht="15" customHeight="1">
      <c r="A83" t="inlineStr">
        <is>
          <t>A 56349-2023</t>
        </is>
      </c>
      <c r="B83" t="inlineStr">
        <is>
          <t>avverkningsanmälan</t>
        </is>
      </c>
      <c r="C83" t="inlineStr">
        <is>
          <t>Föryngringsavverkning</t>
        </is>
      </c>
      <c r="D83" s="1" t="n">
        <v>45243</v>
      </c>
      <c r="E83" s="1" t="n">
        <v>46222</v>
      </c>
      <c r="F83" t="inlineStr">
        <is>
          <t>STOCKHOLMS LÄN</t>
        </is>
      </c>
      <c r="G83" t="inlineStr">
        <is>
          <t>SÖDERTÄLJE</t>
        </is>
      </c>
      <c r="I83" t="n">
        <v>2.8</v>
      </c>
      <c r="J83" t="n">
        <v>0</v>
      </c>
      <c r="K83" t="n">
        <v>0</v>
      </c>
      <c r="L83" t="n">
        <v>0</v>
      </c>
      <c r="M83" t="n">
        <v>0</v>
      </c>
      <c r="N83" t="n">
        <v>0</v>
      </c>
      <c r="O83" t="n">
        <v>0</v>
      </c>
      <c r="P83" t="n">
        <v>0</v>
      </c>
      <c r="Q83" t="n">
        <v>0</v>
      </c>
      <c r="R83" t="n">
        <v>0</v>
      </c>
      <c r="S83" t="n">
        <v>0</v>
      </c>
      <c r="T83" t="n">
        <v>0</v>
      </c>
      <c r="U83" s="2" t="inlineStr"/>
    </row>
    <row r="84" ht="15" customHeight="1">
      <c r="A84" t="inlineStr">
        <is>
          <t>A 28502-2023</t>
        </is>
      </c>
      <c r="B84" t="inlineStr">
        <is>
          <t>avverkningsanmälan</t>
        </is>
      </c>
      <c r="C84" t="inlineStr">
        <is>
          <t>Föryngringsavverkning</t>
        </is>
      </c>
      <c r="D84" s="1" t="n">
        <v>45103</v>
      </c>
      <c r="E84" s="1" t="n">
        <v>46222</v>
      </c>
      <c r="F84" t="inlineStr">
        <is>
          <t>STOCKHOLMS LÄN</t>
        </is>
      </c>
      <c r="G84" t="inlineStr">
        <is>
          <t>SÖDERTÄLJE</t>
        </is>
      </c>
      <c r="I84" t="n">
        <v>1.3</v>
      </c>
      <c r="J84" t="n">
        <v>0</v>
      </c>
      <c r="K84" t="n">
        <v>0</v>
      </c>
      <c r="L84" t="n">
        <v>0</v>
      </c>
      <c r="M84" t="n">
        <v>0</v>
      </c>
      <c r="N84" t="n">
        <v>0</v>
      </c>
      <c r="O84" t="n">
        <v>0</v>
      </c>
      <c r="P84" t="n">
        <v>0</v>
      </c>
      <c r="Q84" t="n">
        <v>0</v>
      </c>
      <c r="R84" t="n">
        <v>0</v>
      </c>
      <c r="S84" t="n">
        <v>0</v>
      </c>
      <c r="T84" t="n">
        <v>0</v>
      </c>
      <c r="U84" s="2" t="inlineStr"/>
    </row>
    <row r="85" ht="15" customHeight="1">
      <c r="A85" t="inlineStr">
        <is>
          <t>A 52815-2023</t>
        </is>
      </c>
      <c r="B85" t="inlineStr">
        <is>
          <t>avverkningsanmälan</t>
        </is>
      </c>
      <c r="C85" t="inlineStr">
        <is>
          <t>Föryngringsavverkning</t>
        </is>
      </c>
      <c r="D85" s="1" t="n">
        <v>45226</v>
      </c>
      <c r="E85" s="1" t="n">
        <v>46222</v>
      </c>
      <c r="F85" t="inlineStr">
        <is>
          <t>STOCKHOLMS LÄN</t>
        </is>
      </c>
      <c r="G85" t="inlineStr">
        <is>
          <t>SÖDERTÄLJE</t>
        </is>
      </c>
      <c r="H85" t="inlineStr">
        <is>
          <t>Sveaskog</t>
        </is>
      </c>
      <c r="I85" t="n">
        <v>1.1</v>
      </c>
      <c r="J85" t="n">
        <v>0</v>
      </c>
      <c r="K85" t="n">
        <v>0</v>
      </c>
      <c r="L85" t="n">
        <v>0</v>
      </c>
      <c r="M85" t="n">
        <v>0</v>
      </c>
      <c r="N85" t="n">
        <v>0</v>
      </c>
      <c r="O85" t="n">
        <v>0</v>
      </c>
      <c r="P85" t="n">
        <v>0</v>
      </c>
      <c r="Q85" t="n">
        <v>0</v>
      </c>
      <c r="R85" t="n">
        <v>0</v>
      </c>
      <c r="S85" t="n">
        <v>0</v>
      </c>
      <c r="T85" t="n">
        <v>0</v>
      </c>
      <c r="U85" s="2" t="inlineStr"/>
    </row>
    <row r="86" ht="15" customHeight="1">
      <c r="A86" t="inlineStr">
        <is>
          <t>A 3382-2024</t>
        </is>
      </c>
      <c r="B86" t="inlineStr">
        <is>
          <t>avverkningsanmälan</t>
        </is>
      </c>
      <c r="C86" t="inlineStr">
        <is>
          <t>Avverkning för att bevara och utveckla /försöksver</t>
        </is>
      </c>
      <c r="D86" s="1" t="n">
        <v>45317</v>
      </c>
      <c r="E86" s="1" t="n">
        <v>46222</v>
      </c>
      <c r="F86" t="inlineStr">
        <is>
          <t>STOCKHOLMS LÄN</t>
        </is>
      </c>
      <c r="G86" t="inlineStr">
        <is>
          <t>SÖDERTÄLJE</t>
        </is>
      </c>
      <c r="I86" t="n">
        <v>0.6</v>
      </c>
      <c r="J86" t="n">
        <v>0</v>
      </c>
      <c r="K86" t="n">
        <v>0</v>
      </c>
      <c r="L86" t="n">
        <v>0</v>
      </c>
      <c r="M86" t="n">
        <v>0</v>
      </c>
      <c r="N86" t="n">
        <v>0</v>
      </c>
      <c r="O86" t="n">
        <v>0</v>
      </c>
      <c r="P86" t="n">
        <v>0</v>
      </c>
      <c r="Q86" t="n">
        <v>0</v>
      </c>
      <c r="R86" t="n">
        <v>0</v>
      </c>
      <c r="S86" t="n">
        <v>0</v>
      </c>
      <c r="T86" t="n">
        <v>0</v>
      </c>
      <c r="U86" s="2" t="inlineStr"/>
    </row>
    <row r="87" ht="15" customHeight="1">
      <c r="A87" t="inlineStr">
        <is>
          <t>A 49956-2022</t>
        </is>
      </c>
      <c r="B87" t="inlineStr">
        <is>
          <t>avverkningsanmälan</t>
        </is>
      </c>
      <c r="C87" t="inlineStr">
        <is>
          <t>Föryngringsavverkning</t>
        </is>
      </c>
      <c r="D87" s="1" t="n">
        <v>44865</v>
      </c>
      <c r="E87" s="1" t="n">
        <v>46222</v>
      </c>
      <c r="F87" t="inlineStr">
        <is>
          <t>STOCKHOLMS LÄN</t>
        </is>
      </c>
      <c r="G87" t="inlineStr">
        <is>
          <t>SÖDERTÄLJE</t>
        </is>
      </c>
      <c r="I87" t="n">
        <v>1.3</v>
      </c>
      <c r="J87" t="n">
        <v>0</v>
      </c>
      <c r="K87" t="n">
        <v>0</v>
      </c>
      <c r="L87" t="n">
        <v>0</v>
      </c>
      <c r="M87" t="n">
        <v>0</v>
      </c>
      <c r="N87" t="n">
        <v>0</v>
      </c>
      <c r="O87" t="n">
        <v>0</v>
      </c>
      <c r="P87" t="n">
        <v>0</v>
      </c>
      <c r="Q87" t="n">
        <v>0</v>
      </c>
      <c r="R87" t="n">
        <v>0</v>
      </c>
      <c r="S87" t="n">
        <v>0</v>
      </c>
      <c r="T87" t="n">
        <v>0</v>
      </c>
      <c r="U87" s="2" t="inlineStr"/>
    </row>
    <row r="88" ht="15" customHeight="1">
      <c r="A88" t="inlineStr">
        <is>
          <t>A 36886-2023</t>
        </is>
      </c>
      <c r="B88" t="inlineStr">
        <is>
          <t>avverkningsanmälan</t>
        </is>
      </c>
      <c r="C88" t="inlineStr">
        <is>
          <t>Avverkning för annat ändamål</t>
        </is>
      </c>
      <c r="D88" s="1" t="n">
        <v>45154</v>
      </c>
      <c r="E88" s="1" t="n">
        <v>46222</v>
      </c>
      <c r="F88" t="inlineStr">
        <is>
          <t>STOCKHOLMS LÄN</t>
        </is>
      </c>
      <c r="G88" t="inlineStr">
        <is>
          <t>SÖDERTÄLJE</t>
        </is>
      </c>
      <c r="I88" t="n">
        <v>0.7</v>
      </c>
      <c r="J88" t="n">
        <v>0</v>
      </c>
      <c r="K88" t="n">
        <v>0</v>
      </c>
      <c r="L88" t="n">
        <v>0</v>
      </c>
      <c r="M88" t="n">
        <v>0</v>
      </c>
      <c r="N88" t="n">
        <v>0</v>
      </c>
      <c r="O88" t="n">
        <v>0</v>
      </c>
      <c r="P88" t="n">
        <v>0</v>
      </c>
      <c r="Q88" t="n">
        <v>0</v>
      </c>
      <c r="R88" t="n">
        <v>0</v>
      </c>
      <c r="S88" t="n">
        <v>0</v>
      </c>
      <c r="T88" t="n">
        <v>0</v>
      </c>
      <c r="U88" s="2" t="inlineStr"/>
    </row>
    <row r="89" ht="15" customHeight="1">
      <c r="A89" t="inlineStr">
        <is>
          <t>A 95-2024</t>
        </is>
      </c>
      <c r="B89" t="inlineStr">
        <is>
          <t>avverkningsanmälan</t>
        </is>
      </c>
      <c r="C89" t="inlineStr">
        <is>
          <t>Föryngringsavverkning</t>
        </is>
      </c>
      <c r="D89" s="1" t="n">
        <v>45293</v>
      </c>
      <c r="E89" s="1" t="n">
        <v>46222</v>
      </c>
      <c r="F89" t="inlineStr">
        <is>
          <t>STOCKHOLMS LÄN</t>
        </is>
      </c>
      <c r="G89" t="inlineStr">
        <is>
          <t>SÖDERTÄLJE</t>
        </is>
      </c>
      <c r="I89" t="n">
        <v>1.1</v>
      </c>
      <c r="J89" t="n">
        <v>0</v>
      </c>
      <c r="K89" t="n">
        <v>0</v>
      </c>
      <c r="L89" t="n">
        <v>0</v>
      </c>
      <c r="M89" t="n">
        <v>0</v>
      </c>
      <c r="N89" t="n">
        <v>0</v>
      </c>
      <c r="O89" t="n">
        <v>0</v>
      </c>
      <c r="P89" t="n">
        <v>0</v>
      </c>
      <c r="Q89" t="n">
        <v>0</v>
      </c>
      <c r="R89" t="n">
        <v>0</v>
      </c>
      <c r="S89" t="n">
        <v>0</v>
      </c>
      <c r="T89" t="n">
        <v>0</v>
      </c>
      <c r="U89" s="2" t="inlineStr"/>
    </row>
    <row r="90" ht="15" customHeight="1">
      <c r="A90" t="inlineStr">
        <is>
          <t>A 26909-2024</t>
        </is>
      </c>
      <c r="B90" t="inlineStr">
        <is>
          <t>avverkningsanmälan</t>
        </is>
      </c>
      <c r="C90" t="inlineStr">
        <is>
          <t>Föryngringsavverkning</t>
        </is>
      </c>
      <c r="D90" s="1" t="n">
        <v>45470</v>
      </c>
      <c r="E90" s="1" t="n">
        <v>46222</v>
      </c>
      <c r="F90" t="inlineStr">
        <is>
          <t>STOCKHOLMS LÄN</t>
        </is>
      </c>
      <c r="G90" t="inlineStr">
        <is>
          <t>SÖDERTÄLJE</t>
        </is>
      </c>
      <c r="H90" t="inlineStr">
        <is>
          <t>Kommuner</t>
        </is>
      </c>
      <c r="I90" t="n">
        <v>0.9</v>
      </c>
      <c r="J90" t="n">
        <v>0</v>
      </c>
      <c r="K90" t="n">
        <v>0</v>
      </c>
      <c r="L90" t="n">
        <v>0</v>
      </c>
      <c r="M90" t="n">
        <v>0</v>
      </c>
      <c r="N90" t="n">
        <v>0</v>
      </c>
      <c r="O90" t="n">
        <v>0</v>
      </c>
      <c r="P90" t="n">
        <v>0</v>
      </c>
      <c r="Q90" t="n">
        <v>0</v>
      </c>
      <c r="R90" t="n">
        <v>0</v>
      </c>
      <c r="S90" t="n">
        <v>0</v>
      </c>
      <c r="T90" t="n">
        <v>0</v>
      </c>
      <c r="U90" s="2" t="inlineStr"/>
    </row>
    <row r="91" ht="15" customHeight="1">
      <c r="A91" t="inlineStr">
        <is>
          <t>A 23367-2024</t>
        </is>
      </c>
      <c r="B91" t="inlineStr">
        <is>
          <t>avverkningsanmälan</t>
        </is>
      </c>
      <c r="C91" t="inlineStr">
        <is>
          <t>Avverkning för annat ändamål</t>
        </is>
      </c>
      <c r="D91" s="1" t="n">
        <v>45453</v>
      </c>
      <c r="E91" s="1" t="n">
        <v>46222</v>
      </c>
      <c r="F91" t="inlineStr">
        <is>
          <t>STOCKHOLMS LÄN</t>
        </is>
      </c>
      <c r="G91" t="inlineStr">
        <is>
          <t>SÖDERTÄLJE</t>
        </is>
      </c>
      <c r="I91" t="n">
        <v>2.5</v>
      </c>
      <c r="J91" t="n">
        <v>0</v>
      </c>
      <c r="K91" t="n">
        <v>0</v>
      </c>
      <c r="L91" t="n">
        <v>0</v>
      </c>
      <c r="M91" t="n">
        <v>0</v>
      </c>
      <c r="N91" t="n">
        <v>0</v>
      </c>
      <c r="O91" t="n">
        <v>0</v>
      </c>
      <c r="P91" t="n">
        <v>0</v>
      </c>
      <c r="Q91" t="n">
        <v>0</v>
      </c>
      <c r="R91" t="n">
        <v>0</v>
      </c>
      <c r="S91" t="n">
        <v>0</v>
      </c>
      <c r="T91" t="n">
        <v>0</v>
      </c>
      <c r="U91" s="2" t="inlineStr"/>
    </row>
    <row r="92" ht="15" customHeight="1">
      <c r="A92" t="inlineStr">
        <is>
          <t>A 8611-2023</t>
        </is>
      </c>
      <c r="B92" t="inlineStr">
        <is>
          <t>avverkningsanmälan</t>
        </is>
      </c>
      <c r="C92" t="inlineStr">
        <is>
          <t>Avverkning för annat ändamål</t>
        </is>
      </c>
      <c r="D92" s="1" t="n">
        <v>44977</v>
      </c>
      <c r="E92" s="1" t="n">
        <v>46222</v>
      </c>
      <c r="F92" t="inlineStr">
        <is>
          <t>STOCKHOLMS LÄN</t>
        </is>
      </c>
      <c r="G92" t="inlineStr">
        <is>
          <t>SÖDERTÄLJE</t>
        </is>
      </c>
      <c r="I92" t="n">
        <v>0.3</v>
      </c>
      <c r="J92" t="n">
        <v>0</v>
      </c>
      <c r="K92" t="n">
        <v>0</v>
      </c>
      <c r="L92" t="n">
        <v>0</v>
      </c>
      <c r="M92" t="n">
        <v>0</v>
      </c>
      <c r="N92" t="n">
        <v>0</v>
      </c>
      <c r="O92" t="n">
        <v>0</v>
      </c>
      <c r="P92" t="n">
        <v>0</v>
      </c>
      <c r="Q92" t="n">
        <v>0</v>
      </c>
      <c r="R92" t="n">
        <v>0</v>
      </c>
      <c r="S92" t="n">
        <v>0</v>
      </c>
      <c r="T92" t="n">
        <v>0</v>
      </c>
      <c r="U92" s="2" t="inlineStr"/>
    </row>
    <row r="93" ht="15" customHeight="1">
      <c r="A93" t="inlineStr">
        <is>
          <t>A 60635-2024</t>
        </is>
      </c>
      <c r="B93" t="inlineStr">
        <is>
          <t>avverkningsanmälan</t>
        </is>
      </c>
      <c r="C93" t="inlineStr">
        <is>
          <t>Föryngringsavverkning</t>
        </is>
      </c>
      <c r="D93" s="1" t="n">
        <v>45644</v>
      </c>
      <c r="E93" s="1" t="n">
        <v>46222</v>
      </c>
      <c r="F93" t="inlineStr">
        <is>
          <t>STOCKHOLMS LÄN</t>
        </is>
      </c>
      <c r="G93" t="inlineStr">
        <is>
          <t>SÖDERTÄLJE</t>
        </is>
      </c>
      <c r="I93" t="n">
        <v>2.8</v>
      </c>
      <c r="J93" t="n">
        <v>0</v>
      </c>
      <c r="K93" t="n">
        <v>0</v>
      </c>
      <c r="L93" t="n">
        <v>0</v>
      </c>
      <c r="M93" t="n">
        <v>0</v>
      </c>
      <c r="N93" t="n">
        <v>0</v>
      </c>
      <c r="O93" t="n">
        <v>0</v>
      </c>
      <c r="P93" t="n">
        <v>0</v>
      </c>
      <c r="Q93" t="n">
        <v>0</v>
      </c>
      <c r="R93" t="n">
        <v>0</v>
      </c>
      <c r="S93" t="n">
        <v>0</v>
      </c>
      <c r="T93" t="n">
        <v>0</v>
      </c>
      <c r="U93" s="2" t="inlineStr"/>
    </row>
    <row r="94" ht="15" customHeight="1">
      <c r="A94" t="inlineStr">
        <is>
          <t>A 72218-2021</t>
        </is>
      </c>
      <c r="B94" t="inlineStr">
        <is>
          <t>avverkningsanmälan</t>
        </is>
      </c>
      <c r="C94" t="inlineStr">
        <is>
          <t>Föryngringsavverkning</t>
        </is>
      </c>
      <c r="D94" s="1" t="n">
        <v>44544</v>
      </c>
      <c r="E94" s="1" t="n">
        <v>46222</v>
      </c>
      <c r="F94" t="inlineStr">
        <is>
          <t>STOCKHOLMS LÄN</t>
        </is>
      </c>
      <c r="G94" t="inlineStr">
        <is>
          <t>SÖDERTÄLJE</t>
        </is>
      </c>
      <c r="I94" t="n">
        <v>2.2</v>
      </c>
      <c r="J94" t="n">
        <v>0</v>
      </c>
      <c r="K94" t="n">
        <v>0</v>
      </c>
      <c r="L94" t="n">
        <v>0</v>
      </c>
      <c r="M94" t="n">
        <v>0</v>
      </c>
      <c r="N94" t="n">
        <v>0</v>
      </c>
      <c r="O94" t="n">
        <v>0</v>
      </c>
      <c r="P94" t="n">
        <v>0</v>
      </c>
      <c r="Q94" t="n">
        <v>0</v>
      </c>
      <c r="R94" t="n">
        <v>0</v>
      </c>
      <c r="S94" t="n">
        <v>0</v>
      </c>
      <c r="T94" t="n">
        <v>0</v>
      </c>
      <c r="U94" s="2" t="inlineStr"/>
    </row>
    <row r="95" ht="15" customHeight="1">
      <c r="A95" t="inlineStr">
        <is>
          <t>A 314-2022</t>
        </is>
      </c>
      <c r="B95" t="inlineStr">
        <is>
          <t>avverkningsanmälan</t>
        </is>
      </c>
      <c r="C95" t="inlineStr">
        <is>
          <t>Föryngringsavverkning</t>
        </is>
      </c>
      <c r="D95" s="1" t="n">
        <v>44564</v>
      </c>
      <c r="E95" s="1" t="n">
        <v>46222</v>
      </c>
      <c r="F95" t="inlineStr">
        <is>
          <t>STOCKHOLMS LÄN</t>
        </is>
      </c>
      <c r="G95" t="inlineStr">
        <is>
          <t>SÖDERTÄLJE</t>
        </is>
      </c>
      <c r="I95" t="n">
        <v>3.4</v>
      </c>
      <c r="J95" t="n">
        <v>0</v>
      </c>
      <c r="K95" t="n">
        <v>0</v>
      </c>
      <c r="L95" t="n">
        <v>0</v>
      </c>
      <c r="M95" t="n">
        <v>0</v>
      </c>
      <c r="N95" t="n">
        <v>0</v>
      </c>
      <c r="O95" t="n">
        <v>0</v>
      </c>
      <c r="P95" t="n">
        <v>0</v>
      </c>
      <c r="Q95" t="n">
        <v>0</v>
      </c>
      <c r="R95" t="n">
        <v>0</v>
      </c>
      <c r="S95" t="n">
        <v>0</v>
      </c>
      <c r="T95" t="n">
        <v>0</v>
      </c>
      <c r="U95" s="2" t="inlineStr"/>
    </row>
    <row r="96" ht="15" customHeight="1">
      <c r="A96" t="inlineStr">
        <is>
          <t>A 31375-2024</t>
        </is>
      </c>
      <c r="B96" t="inlineStr">
        <is>
          <t>avverkningsanmälan</t>
        </is>
      </c>
      <c r="C96" t="inlineStr">
        <is>
          <t>Avverkning för annat ändamål</t>
        </is>
      </c>
      <c r="D96" s="1" t="n">
        <v>45505</v>
      </c>
      <c r="E96" s="1" t="n">
        <v>46222</v>
      </c>
      <c r="F96" t="inlineStr">
        <is>
          <t>STOCKHOLMS LÄN</t>
        </is>
      </c>
      <c r="G96" t="inlineStr">
        <is>
          <t>SÖDERTÄLJE</t>
        </is>
      </c>
      <c r="H96" t="inlineStr">
        <is>
          <t>Kommuner</t>
        </is>
      </c>
      <c r="I96" t="n">
        <v>0.6</v>
      </c>
      <c r="J96" t="n">
        <v>0</v>
      </c>
      <c r="K96" t="n">
        <v>0</v>
      </c>
      <c r="L96" t="n">
        <v>0</v>
      </c>
      <c r="M96" t="n">
        <v>0</v>
      </c>
      <c r="N96" t="n">
        <v>0</v>
      </c>
      <c r="O96" t="n">
        <v>0</v>
      </c>
      <c r="P96" t="n">
        <v>0</v>
      </c>
      <c r="Q96" t="n">
        <v>0</v>
      </c>
      <c r="R96" t="n">
        <v>0</v>
      </c>
      <c r="S96" t="n">
        <v>0</v>
      </c>
      <c r="T96" t="n">
        <v>0</v>
      </c>
      <c r="U96" s="2" t="inlineStr"/>
    </row>
    <row r="97" ht="15" customHeight="1">
      <c r="A97" t="inlineStr">
        <is>
          <t>A 37536-2024</t>
        </is>
      </c>
      <c r="B97" t="inlineStr">
        <is>
          <t>avverkningsanmälan</t>
        </is>
      </c>
      <c r="C97" t="inlineStr">
        <is>
          <t>Föryngringsavverkning</t>
        </is>
      </c>
      <c r="D97" s="1" t="n">
        <v>45541</v>
      </c>
      <c r="E97" s="1" t="n">
        <v>46222</v>
      </c>
      <c r="F97" t="inlineStr">
        <is>
          <t>STOCKHOLMS LÄN</t>
        </is>
      </c>
      <c r="G97" t="inlineStr">
        <is>
          <t>SÖDERTÄLJE</t>
        </is>
      </c>
      <c r="I97" t="n">
        <v>2.7</v>
      </c>
      <c r="J97" t="n">
        <v>0</v>
      </c>
      <c r="K97" t="n">
        <v>0</v>
      </c>
      <c r="L97" t="n">
        <v>0</v>
      </c>
      <c r="M97" t="n">
        <v>0</v>
      </c>
      <c r="N97" t="n">
        <v>0</v>
      </c>
      <c r="O97" t="n">
        <v>0</v>
      </c>
      <c r="P97" t="n">
        <v>0</v>
      </c>
      <c r="Q97" t="n">
        <v>0</v>
      </c>
      <c r="R97" t="n">
        <v>0</v>
      </c>
      <c r="S97" t="n">
        <v>0</v>
      </c>
      <c r="T97" t="n">
        <v>0</v>
      </c>
      <c r="U97" s="2" t="inlineStr"/>
    </row>
    <row r="98" ht="15" customHeight="1">
      <c r="A98" t="inlineStr">
        <is>
          <t>A 42339-2024</t>
        </is>
      </c>
      <c r="B98" t="inlineStr">
        <is>
          <t>avverkningsanmälan</t>
        </is>
      </c>
      <c r="C98" t="inlineStr">
        <is>
          <t>Avverkning för annat ändamål</t>
        </is>
      </c>
      <c r="D98" s="1" t="n">
        <v>45562</v>
      </c>
      <c r="E98" s="1" t="n">
        <v>46222</v>
      </c>
      <c r="F98" t="inlineStr">
        <is>
          <t>STOCKHOLMS LÄN</t>
        </is>
      </c>
      <c r="G98" t="inlineStr">
        <is>
          <t>SÖDERTÄLJE</t>
        </is>
      </c>
      <c r="H98" t="inlineStr">
        <is>
          <t>Övriga statliga verk och myndigheter</t>
        </is>
      </c>
      <c r="I98" t="n">
        <v>4.3</v>
      </c>
      <c r="J98" t="n">
        <v>0</v>
      </c>
      <c r="K98" t="n">
        <v>0</v>
      </c>
      <c r="L98" t="n">
        <v>0</v>
      </c>
      <c r="M98" t="n">
        <v>0</v>
      </c>
      <c r="N98" t="n">
        <v>0</v>
      </c>
      <c r="O98" t="n">
        <v>0</v>
      </c>
      <c r="P98" t="n">
        <v>0</v>
      </c>
      <c r="Q98" t="n">
        <v>0</v>
      </c>
      <c r="R98" t="n">
        <v>0</v>
      </c>
      <c r="S98" t="n">
        <v>0</v>
      </c>
      <c r="T98" t="n">
        <v>0</v>
      </c>
      <c r="U98" s="2" t="inlineStr"/>
    </row>
    <row r="99" ht="15" customHeight="1">
      <c r="A99" t="inlineStr">
        <is>
          <t>A 2529-2023</t>
        </is>
      </c>
      <c r="B99" t="inlineStr">
        <is>
          <t>avverkningsanmälan</t>
        </is>
      </c>
      <c r="C99" t="inlineStr">
        <is>
          <t>Föryngringsavverkning</t>
        </is>
      </c>
      <c r="D99" s="1" t="n">
        <v>44943</v>
      </c>
      <c r="E99" s="1" t="n">
        <v>46222</v>
      </c>
      <c r="F99" t="inlineStr">
        <is>
          <t>STOCKHOLMS LÄN</t>
        </is>
      </c>
      <c r="G99" t="inlineStr">
        <is>
          <t>SÖDERTÄLJE</t>
        </is>
      </c>
      <c r="I99" t="n">
        <v>1.9</v>
      </c>
      <c r="J99" t="n">
        <v>0</v>
      </c>
      <c r="K99" t="n">
        <v>0</v>
      </c>
      <c r="L99" t="n">
        <v>0</v>
      </c>
      <c r="M99" t="n">
        <v>0</v>
      </c>
      <c r="N99" t="n">
        <v>0</v>
      </c>
      <c r="O99" t="n">
        <v>0</v>
      </c>
      <c r="P99" t="n">
        <v>0</v>
      </c>
      <c r="Q99" t="n">
        <v>0</v>
      </c>
      <c r="R99" t="n">
        <v>0</v>
      </c>
      <c r="S99" t="n">
        <v>0</v>
      </c>
      <c r="T99" t="n">
        <v>0</v>
      </c>
      <c r="U99" s="2" t="inlineStr"/>
    </row>
    <row r="100" ht="15" customHeight="1">
      <c r="A100" t="inlineStr">
        <is>
          <t>A 27970-2022</t>
        </is>
      </c>
      <c r="B100" t="inlineStr">
        <is>
          <t>avverkningsanmälan</t>
        </is>
      </c>
      <c r="C100" t="inlineStr">
        <is>
          <t>Föryngringsavverkning</t>
        </is>
      </c>
      <c r="D100" s="1" t="n">
        <v>44744</v>
      </c>
      <c r="E100" s="1" t="n">
        <v>46222</v>
      </c>
      <c r="F100" t="inlineStr">
        <is>
          <t>STOCKHOLMS LÄN</t>
        </is>
      </c>
      <c r="G100" t="inlineStr">
        <is>
          <t>SÖDERTÄLJE</t>
        </is>
      </c>
      <c r="I100" t="n">
        <v>1.6</v>
      </c>
      <c r="J100" t="n">
        <v>0</v>
      </c>
      <c r="K100" t="n">
        <v>0</v>
      </c>
      <c r="L100" t="n">
        <v>0</v>
      </c>
      <c r="M100" t="n">
        <v>0</v>
      </c>
      <c r="N100" t="n">
        <v>0</v>
      </c>
      <c r="O100" t="n">
        <v>0</v>
      </c>
      <c r="P100" t="n">
        <v>0</v>
      </c>
      <c r="Q100" t="n">
        <v>0</v>
      </c>
      <c r="R100" t="n">
        <v>0</v>
      </c>
      <c r="S100" t="n">
        <v>0</v>
      </c>
      <c r="T100" t="n">
        <v>0</v>
      </c>
      <c r="U100" s="2" t="inlineStr"/>
    </row>
    <row r="101" ht="15" customHeight="1">
      <c r="A101" t="inlineStr">
        <is>
          <t>A 4443-2023</t>
        </is>
      </c>
      <c r="B101" t="inlineStr">
        <is>
          <t>avverkningsanmälan</t>
        </is>
      </c>
      <c r="C101" t="inlineStr">
        <is>
          <t>Föryngringsavverkning</t>
        </is>
      </c>
      <c r="D101" s="1" t="n">
        <v>44956</v>
      </c>
      <c r="E101" s="1" t="n">
        <v>46222</v>
      </c>
      <c r="F101" t="inlineStr">
        <is>
          <t>STOCKHOLMS LÄN</t>
        </is>
      </c>
      <c r="G101" t="inlineStr">
        <is>
          <t>SÖDERTÄLJE</t>
        </is>
      </c>
      <c r="I101" t="n">
        <v>5</v>
      </c>
      <c r="J101" t="n">
        <v>0</v>
      </c>
      <c r="K101" t="n">
        <v>0</v>
      </c>
      <c r="L101" t="n">
        <v>0</v>
      </c>
      <c r="M101" t="n">
        <v>0</v>
      </c>
      <c r="N101" t="n">
        <v>0</v>
      </c>
      <c r="O101" t="n">
        <v>0</v>
      </c>
      <c r="P101" t="n">
        <v>0</v>
      </c>
      <c r="Q101" t="n">
        <v>0</v>
      </c>
      <c r="R101" t="n">
        <v>0</v>
      </c>
      <c r="S101" t="n">
        <v>0</v>
      </c>
      <c r="T101" t="n">
        <v>0</v>
      </c>
      <c r="U101" s="2" t="inlineStr"/>
    </row>
    <row r="102" ht="15" customHeight="1">
      <c r="A102" t="inlineStr">
        <is>
          <t>A 27969-2022</t>
        </is>
      </c>
      <c r="B102" t="inlineStr">
        <is>
          <t>avverkningsanmälan</t>
        </is>
      </c>
      <c r="C102" t="inlineStr">
        <is>
          <t>Föryngringsavverkning</t>
        </is>
      </c>
      <c r="D102" s="1" t="n">
        <v>44744</v>
      </c>
      <c r="E102" s="1" t="n">
        <v>46222</v>
      </c>
      <c r="F102" t="inlineStr">
        <is>
          <t>STOCKHOLMS LÄN</t>
        </is>
      </c>
      <c r="G102" t="inlineStr">
        <is>
          <t>SÖDERTÄLJE</t>
        </is>
      </c>
      <c r="I102" t="n">
        <v>2.5</v>
      </c>
      <c r="J102" t="n">
        <v>0</v>
      </c>
      <c r="K102" t="n">
        <v>0</v>
      </c>
      <c r="L102" t="n">
        <v>0</v>
      </c>
      <c r="M102" t="n">
        <v>0</v>
      </c>
      <c r="N102" t="n">
        <v>0</v>
      </c>
      <c r="O102" t="n">
        <v>0</v>
      </c>
      <c r="P102" t="n">
        <v>0</v>
      </c>
      <c r="Q102" t="n">
        <v>0</v>
      </c>
      <c r="R102" t="n">
        <v>0</v>
      </c>
      <c r="S102" t="n">
        <v>0</v>
      </c>
      <c r="T102" t="n">
        <v>0</v>
      </c>
      <c r="U102" s="2" t="inlineStr"/>
    </row>
    <row r="103" ht="15" customHeight="1">
      <c r="A103" t="inlineStr">
        <is>
          <t>A 3108-2024</t>
        </is>
      </c>
      <c r="B103" t="inlineStr">
        <is>
          <t>avverkningsanmälan</t>
        </is>
      </c>
      <c r="C103" t="inlineStr">
        <is>
          <t>Avverkning för att bevara och utveckla /försöksver</t>
        </is>
      </c>
      <c r="D103" s="1" t="n">
        <v>45316</v>
      </c>
      <c r="E103" s="1" t="n">
        <v>46222</v>
      </c>
      <c r="F103" t="inlineStr">
        <is>
          <t>STOCKHOLMS LÄN</t>
        </is>
      </c>
      <c r="G103" t="inlineStr">
        <is>
          <t>SÖDERTÄLJE</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48046-2025</t>
        </is>
      </c>
      <c r="B104" t="inlineStr">
        <is>
          <t>avverkningsanmälan</t>
        </is>
      </c>
      <c r="C104" t="inlineStr">
        <is>
          <t>Föryngringsavverkning</t>
        </is>
      </c>
      <c r="D104" s="1" t="n">
        <v>45932</v>
      </c>
      <c r="E104" s="1" t="n">
        <v>46222</v>
      </c>
      <c r="F104" t="inlineStr">
        <is>
          <t>STOCKHOLMS LÄN</t>
        </is>
      </c>
      <c r="G104" t="inlineStr">
        <is>
          <t>SÖDERTÄLJE</t>
        </is>
      </c>
      <c r="H104" t="inlineStr">
        <is>
          <t>Sveaskog</t>
        </is>
      </c>
      <c r="I104" t="n">
        <v>1.1</v>
      </c>
      <c r="J104" t="n">
        <v>0</v>
      </c>
      <c r="K104" t="n">
        <v>0</v>
      </c>
      <c r="L104" t="n">
        <v>0</v>
      </c>
      <c r="M104" t="n">
        <v>0</v>
      </c>
      <c r="N104" t="n">
        <v>0</v>
      </c>
      <c r="O104" t="n">
        <v>0</v>
      </c>
      <c r="P104" t="n">
        <v>0</v>
      </c>
      <c r="Q104" t="n">
        <v>0</v>
      </c>
      <c r="R104" t="n">
        <v>0</v>
      </c>
      <c r="S104" t="n">
        <v>0</v>
      </c>
      <c r="T104" t="n">
        <v>0</v>
      </c>
      <c r="U104" s="2" t="inlineStr"/>
    </row>
    <row r="105" ht="15" customHeight="1">
      <c r="A105" t="inlineStr">
        <is>
          <t>A 45184-2022</t>
        </is>
      </c>
      <c r="B105" t="inlineStr">
        <is>
          <t>avverkningsanmälan</t>
        </is>
      </c>
      <c r="C105" t="inlineStr">
        <is>
          <t>Föryngringsavverkning</t>
        </is>
      </c>
      <c r="D105" s="1" t="n">
        <v>44844</v>
      </c>
      <c r="E105" s="1" t="n">
        <v>46222</v>
      </c>
      <c r="F105" t="inlineStr">
        <is>
          <t>STOCKHOLMS LÄN</t>
        </is>
      </c>
      <c r="G105" t="inlineStr">
        <is>
          <t>SÖDERTÄLJE</t>
        </is>
      </c>
      <c r="I105" t="n">
        <v>1.4</v>
      </c>
      <c r="J105" t="n">
        <v>0</v>
      </c>
      <c r="K105" t="n">
        <v>0</v>
      </c>
      <c r="L105" t="n">
        <v>0</v>
      </c>
      <c r="M105" t="n">
        <v>0</v>
      </c>
      <c r="N105" t="n">
        <v>0</v>
      </c>
      <c r="O105" t="n">
        <v>0</v>
      </c>
      <c r="P105" t="n">
        <v>0</v>
      </c>
      <c r="Q105" t="n">
        <v>0</v>
      </c>
      <c r="R105" t="n">
        <v>0</v>
      </c>
      <c r="S105" t="n">
        <v>0</v>
      </c>
      <c r="T105" t="n">
        <v>0</v>
      </c>
      <c r="U105" s="2" t="inlineStr"/>
    </row>
    <row r="106" ht="15" customHeight="1">
      <c r="A106" t="inlineStr">
        <is>
          <t>A 45674-2021</t>
        </is>
      </c>
      <c r="B106" t="inlineStr">
        <is>
          <t>avverkningsanmälan</t>
        </is>
      </c>
      <c r="C106" t="inlineStr">
        <is>
          <t>Föryngringsavverkning</t>
        </is>
      </c>
      <c r="D106" s="1" t="n">
        <v>44441</v>
      </c>
      <c r="E106" s="1" t="n">
        <v>46222</v>
      </c>
      <c r="F106" t="inlineStr">
        <is>
          <t>STOCKHOLMS LÄN</t>
        </is>
      </c>
      <c r="G106" t="inlineStr">
        <is>
          <t>SÖDERTÄLJE</t>
        </is>
      </c>
      <c r="I106" t="n">
        <v>2</v>
      </c>
      <c r="J106" t="n">
        <v>0</v>
      </c>
      <c r="K106" t="n">
        <v>0</v>
      </c>
      <c r="L106" t="n">
        <v>0</v>
      </c>
      <c r="M106" t="n">
        <v>0</v>
      </c>
      <c r="N106" t="n">
        <v>0</v>
      </c>
      <c r="O106" t="n">
        <v>0</v>
      </c>
      <c r="P106" t="n">
        <v>0</v>
      </c>
      <c r="Q106" t="n">
        <v>0</v>
      </c>
      <c r="R106" t="n">
        <v>0</v>
      </c>
      <c r="S106" t="n">
        <v>0</v>
      </c>
      <c r="T106" t="n">
        <v>0</v>
      </c>
      <c r="U106" s="2" t="inlineStr"/>
    </row>
    <row r="107" ht="15" customHeight="1">
      <c r="A107" t="inlineStr">
        <is>
          <t>A 1759-2025</t>
        </is>
      </c>
      <c r="B107" t="inlineStr">
        <is>
          <t>avverkningsanmälan</t>
        </is>
      </c>
      <c r="C107" t="inlineStr">
        <is>
          <t>Föryngringsavverkning</t>
        </is>
      </c>
      <c r="D107" s="1" t="n">
        <v>45671</v>
      </c>
      <c r="E107" s="1" t="n">
        <v>46222</v>
      </c>
      <c r="F107" t="inlineStr">
        <is>
          <t>STOCKHOLMS LÄN</t>
        </is>
      </c>
      <c r="G107" t="inlineStr">
        <is>
          <t>SÖDERTÄLJE</t>
        </is>
      </c>
      <c r="I107" t="n">
        <v>3.1</v>
      </c>
      <c r="J107" t="n">
        <v>0</v>
      </c>
      <c r="K107" t="n">
        <v>0</v>
      </c>
      <c r="L107" t="n">
        <v>0</v>
      </c>
      <c r="M107" t="n">
        <v>0</v>
      </c>
      <c r="N107" t="n">
        <v>0</v>
      </c>
      <c r="O107" t="n">
        <v>0</v>
      </c>
      <c r="P107" t="n">
        <v>0</v>
      </c>
      <c r="Q107" t="n">
        <v>0</v>
      </c>
      <c r="R107" t="n">
        <v>0</v>
      </c>
      <c r="S107" t="n">
        <v>0</v>
      </c>
      <c r="T107" t="n">
        <v>0</v>
      </c>
      <c r="U107" s="2" t="inlineStr"/>
    </row>
    <row r="108" ht="15" customHeight="1">
      <c r="A108" t="inlineStr">
        <is>
          <t>A 7023-2026</t>
        </is>
      </c>
      <c r="B108" t="inlineStr">
        <is>
          <t>avverkningsanmälan</t>
        </is>
      </c>
      <c r="C108" t="inlineStr">
        <is>
          <t>Föryngringsavverkning</t>
        </is>
      </c>
      <c r="D108" s="1" t="n">
        <v>46057</v>
      </c>
      <c r="E108" s="1" t="n">
        <v>46222</v>
      </c>
      <c r="F108" t="inlineStr">
        <is>
          <t>STOCKHOLMS LÄN</t>
        </is>
      </c>
      <c r="G108" t="inlineStr">
        <is>
          <t>SÖDERTÄLJE</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1016-2022</t>
        </is>
      </c>
      <c r="B109" t="inlineStr">
        <is>
          <t>avverkningsanmälan</t>
        </is>
      </c>
      <c r="C109" t="inlineStr">
        <is>
          <t>Avverkning för annat ändamål</t>
        </is>
      </c>
      <c r="D109" s="1" t="n">
        <v>44571</v>
      </c>
      <c r="E109" s="1" t="n">
        <v>46222</v>
      </c>
      <c r="F109" t="inlineStr">
        <is>
          <t>STOCKHOLMS LÄN</t>
        </is>
      </c>
      <c r="G109" t="inlineStr">
        <is>
          <t>SÖDERTÄLJE</t>
        </is>
      </c>
      <c r="I109" t="n">
        <v>0.4</v>
      </c>
      <c r="J109" t="n">
        <v>0</v>
      </c>
      <c r="K109" t="n">
        <v>0</v>
      </c>
      <c r="L109" t="n">
        <v>0</v>
      </c>
      <c r="M109" t="n">
        <v>0</v>
      </c>
      <c r="N109" t="n">
        <v>0</v>
      </c>
      <c r="O109" t="n">
        <v>0</v>
      </c>
      <c r="P109" t="n">
        <v>0</v>
      </c>
      <c r="Q109" t="n">
        <v>0</v>
      </c>
      <c r="R109" t="n">
        <v>0</v>
      </c>
      <c r="S109" t="n">
        <v>0</v>
      </c>
      <c r="T109" t="n">
        <v>0</v>
      </c>
      <c r="U109" s="2" t="inlineStr"/>
    </row>
    <row r="110" ht="15" customHeight="1">
      <c r="A110" t="inlineStr">
        <is>
          <t>A 42133-2023</t>
        </is>
      </c>
      <c r="B110" t="inlineStr">
        <is>
          <t>avverkningsanmälan</t>
        </is>
      </c>
      <c r="C110" t="inlineStr">
        <is>
          <t>Föryngringsavverkning</t>
        </is>
      </c>
      <c r="D110" s="1" t="n">
        <v>45177</v>
      </c>
      <c r="E110" s="1" t="n">
        <v>46222</v>
      </c>
      <c r="F110" t="inlineStr">
        <is>
          <t>STOCKHOLMS LÄN</t>
        </is>
      </c>
      <c r="G110" t="inlineStr">
        <is>
          <t>SÖDERTÄLJE</t>
        </is>
      </c>
      <c r="I110" t="n">
        <v>1.3</v>
      </c>
      <c r="J110" t="n">
        <v>0</v>
      </c>
      <c r="K110" t="n">
        <v>0</v>
      </c>
      <c r="L110" t="n">
        <v>0</v>
      </c>
      <c r="M110" t="n">
        <v>0</v>
      </c>
      <c r="N110" t="n">
        <v>0</v>
      </c>
      <c r="O110" t="n">
        <v>0</v>
      </c>
      <c r="P110" t="n">
        <v>0</v>
      </c>
      <c r="Q110" t="n">
        <v>0</v>
      </c>
      <c r="R110" t="n">
        <v>0</v>
      </c>
      <c r="S110" t="n">
        <v>0</v>
      </c>
      <c r="T110" t="n">
        <v>0</v>
      </c>
      <c r="U110" s="2" t="inlineStr"/>
    </row>
    <row r="111" ht="15" customHeight="1">
      <c r="A111" t="inlineStr">
        <is>
          <t>A 37844-2022</t>
        </is>
      </c>
      <c r="B111" t="inlineStr">
        <is>
          <t>avverkningsanmälan</t>
        </is>
      </c>
      <c r="C111" t="inlineStr">
        <is>
          <t>Avverkning för annat ändamål</t>
        </is>
      </c>
      <c r="D111" s="1" t="n">
        <v>44810</v>
      </c>
      <c r="E111" s="1" t="n">
        <v>46222</v>
      </c>
      <c r="F111" t="inlineStr">
        <is>
          <t>STOCKHOLMS LÄN</t>
        </is>
      </c>
      <c r="G111" t="inlineStr">
        <is>
          <t>SÖDERTÄLJE</t>
        </is>
      </c>
      <c r="I111" t="n">
        <v>0.7</v>
      </c>
      <c r="J111" t="n">
        <v>0</v>
      </c>
      <c r="K111" t="n">
        <v>0</v>
      </c>
      <c r="L111" t="n">
        <v>0</v>
      </c>
      <c r="M111" t="n">
        <v>0</v>
      </c>
      <c r="N111" t="n">
        <v>0</v>
      </c>
      <c r="O111" t="n">
        <v>0</v>
      </c>
      <c r="P111" t="n">
        <v>0</v>
      </c>
      <c r="Q111" t="n">
        <v>0</v>
      </c>
      <c r="R111" t="n">
        <v>0</v>
      </c>
      <c r="S111" t="n">
        <v>0</v>
      </c>
      <c r="T111" t="n">
        <v>0</v>
      </c>
      <c r="U111" s="2" t="inlineStr"/>
    </row>
    <row r="112" ht="15" customHeight="1">
      <c r="A112" t="inlineStr">
        <is>
          <t>A 9234-2026</t>
        </is>
      </c>
      <c r="B112" t="inlineStr">
        <is>
          <t>avverkningsanmälan</t>
        </is>
      </c>
      <c r="C112" t="inlineStr">
        <is>
          <t>Föryngringsavverkning</t>
        </is>
      </c>
      <c r="D112" s="1" t="n">
        <v>46070</v>
      </c>
      <c r="E112" s="1" t="n">
        <v>46222</v>
      </c>
      <c r="F112" t="inlineStr">
        <is>
          <t>STOCKHOLMS LÄN</t>
        </is>
      </c>
      <c r="G112" t="inlineStr">
        <is>
          <t>SÖDERTÄLJE</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56354-2023</t>
        </is>
      </c>
      <c r="B113" t="inlineStr">
        <is>
          <t>avverkningsanmälan</t>
        </is>
      </c>
      <c r="C113" t="inlineStr">
        <is>
          <t>Föryngringsavverkning</t>
        </is>
      </c>
      <c r="D113" s="1" t="n">
        <v>45243</v>
      </c>
      <c r="E113" s="1" t="n">
        <v>46222</v>
      </c>
      <c r="F113" t="inlineStr">
        <is>
          <t>STOCKHOLMS LÄN</t>
        </is>
      </c>
      <c r="G113" t="inlineStr">
        <is>
          <t>SÖDERTÄLJE</t>
        </is>
      </c>
      <c r="I113" t="n">
        <v>11.4</v>
      </c>
      <c r="J113" t="n">
        <v>0</v>
      </c>
      <c r="K113" t="n">
        <v>0</v>
      </c>
      <c r="L113" t="n">
        <v>0</v>
      </c>
      <c r="M113" t="n">
        <v>0</v>
      </c>
      <c r="N113" t="n">
        <v>0</v>
      </c>
      <c r="O113" t="n">
        <v>0</v>
      </c>
      <c r="P113" t="n">
        <v>0</v>
      </c>
      <c r="Q113" t="n">
        <v>0</v>
      </c>
      <c r="R113" t="n">
        <v>0</v>
      </c>
      <c r="S113" t="n">
        <v>0</v>
      </c>
      <c r="T113" t="n">
        <v>0</v>
      </c>
      <c r="U113" s="2" t="inlineStr"/>
    </row>
    <row r="114" ht="15" customHeight="1">
      <c r="A114" t="inlineStr">
        <is>
          <t>A 3152-2026</t>
        </is>
      </c>
      <c r="B114" t="inlineStr">
        <is>
          <t>avverkningsanmälan</t>
        </is>
      </c>
      <c r="C114" t="inlineStr">
        <is>
          <t>Avverkning för annat ändamål</t>
        </is>
      </c>
      <c r="D114" s="1" t="n">
        <v>46041</v>
      </c>
      <c r="E114" s="1" t="n">
        <v>46222</v>
      </c>
      <c r="F114" t="inlineStr">
        <is>
          <t>STOCKHOLMS LÄN</t>
        </is>
      </c>
      <c r="G114" t="inlineStr">
        <is>
          <t>SÖDERTÄLJE</t>
        </is>
      </c>
      <c r="I114" t="n">
        <v>0.3</v>
      </c>
      <c r="J114" t="n">
        <v>0</v>
      </c>
      <c r="K114" t="n">
        <v>0</v>
      </c>
      <c r="L114" t="n">
        <v>0</v>
      </c>
      <c r="M114" t="n">
        <v>0</v>
      </c>
      <c r="N114" t="n">
        <v>0</v>
      </c>
      <c r="O114" t="n">
        <v>0</v>
      </c>
      <c r="P114" t="n">
        <v>0</v>
      </c>
      <c r="Q114" t="n">
        <v>0</v>
      </c>
      <c r="R114" t="n">
        <v>0</v>
      </c>
      <c r="S114" t="n">
        <v>0</v>
      </c>
      <c r="T114" t="n">
        <v>0</v>
      </c>
      <c r="U114" s="2" t="inlineStr"/>
    </row>
    <row r="115" ht="15" customHeight="1">
      <c r="A115" t="inlineStr">
        <is>
          <t>A 10404-2026</t>
        </is>
      </c>
      <c r="B115" t="inlineStr">
        <is>
          <t>avverkningsanmälan</t>
        </is>
      </c>
      <c r="C115" t="inlineStr">
        <is>
          <t>Föryngringsavverkning</t>
        </is>
      </c>
      <c r="D115" s="1" t="n">
        <v>46077</v>
      </c>
      <c r="E115" s="1" t="n">
        <v>46222</v>
      </c>
      <c r="F115" t="inlineStr">
        <is>
          <t>STOCKHOLMS LÄN</t>
        </is>
      </c>
      <c r="G115" t="inlineStr">
        <is>
          <t>SÖDERTÄLJE</t>
        </is>
      </c>
      <c r="I115" t="n">
        <v>0.5</v>
      </c>
      <c r="J115" t="n">
        <v>0</v>
      </c>
      <c r="K115" t="n">
        <v>0</v>
      </c>
      <c r="L115" t="n">
        <v>0</v>
      </c>
      <c r="M115" t="n">
        <v>0</v>
      </c>
      <c r="N115" t="n">
        <v>0</v>
      </c>
      <c r="O115" t="n">
        <v>0</v>
      </c>
      <c r="P115" t="n">
        <v>0</v>
      </c>
      <c r="Q115" t="n">
        <v>0</v>
      </c>
      <c r="R115" t="n">
        <v>0</v>
      </c>
      <c r="S115" t="n">
        <v>0</v>
      </c>
      <c r="T115" t="n">
        <v>0</v>
      </c>
      <c r="U115" s="2" t="inlineStr"/>
    </row>
    <row r="116" ht="15" customHeight="1">
      <c r="A116" t="inlineStr">
        <is>
          <t>A 10425-2026</t>
        </is>
      </c>
      <c r="B116" t="inlineStr">
        <is>
          <t>avverkningsanmälan</t>
        </is>
      </c>
      <c r="C116" t="inlineStr">
        <is>
          <t>Föryngringsavverkning</t>
        </is>
      </c>
      <c r="D116" s="1" t="n">
        <v>46077</v>
      </c>
      <c r="E116" s="1" t="n">
        <v>46222</v>
      </c>
      <c r="F116" t="inlineStr">
        <is>
          <t>STOCKHOLMS LÄN</t>
        </is>
      </c>
      <c r="G116" t="inlineStr">
        <is>
          <t>SÖDERTÄLJE</t>
        </is>
      </c>
      <c r="I116" t="n">
        <v>0.5</v>
      </c>
      <c r="J116" t="n">
        <v>0</v>
      </c>
      <c r="K116" t="n">
        <v>0</v>
      </c>
      <c r="L116" t="n">
        <v>0</v>
      </c>
      <c r="M116" t="n">
        <v>0</v>
      </c>
      <c r="N116" t="n">
        <v>0</v>
      </c>
      <c r="O116" t="n">
        <v>0</v>
      </c>
      <c r="P116" t="n">
        <v>0</v>
      </c>
      <c r="Q116" t="n">
        <v>0</v>
      </c>
      <c r="R116" t="n">
        <v>0</v>
      </c>
      <c r="S116" t="n">
        <v>0</v>
      </c>
      <c r="T116" t="n">
        <v>0</v>
      </c>
      <c r="U116" s="2" t="inlineStr"/>
    </row>
    <row r="117" ht="15" customHeight="1">
      <c r="A117" t="inlineStr">
        <is>
          <t>A 10414-2026</t>
        </is>
      </c>
      <c r="B117" t="inlineStr">
        <is>
          <t>avverkningsanmälan</t>
        </is>
      </c>
      <c r="C117" t="inlineStr">
        <is>
          <t>Föryngringsavverkning</t>
        </is>
      </c>
      <c r="D117" s="1" t="n">
        <v>46077</v>
      </c>
      <c r="E117" s="1" t="n">
        <v>46222</v>
      </c>
      <c r="F117" t="inlineStr">
        <is>
          <t>STOCKHOLMS LÄN</t>
        </is>
      </c>
      <c r="G117" t="inlineStr">
        <is>
          <t>SÖDERTÄLJE</t>
        </is>
      </c>
      <c r="I117" t="n">
        <v>0.4</v>
      </c>
      <c r="J117" t="n">
        <v>0</v>
      </c>
      <c r="K117" t="n">
        <v>0</v>
      </c>
      <c r="L117" t="n">
        <v>0</v>
      </c>
      <c r="M117" t="n">
        <v>0</v>
      </c>
      <c r="N117" t="n">
        <v>0</v>
      </c>
      <c r="O117" t="n">
        <v>0</v>
      </c>
      <c r="P117" t="n">
        <v>0</v>
      </c>
      <c r="Q117" t="n">
        <v>0</v>
      </c>
      <c r="R117" t="n">
        <v>0</v>
      </c>
      <c r="S117" t="n">
        <v>0</v>
      </c>
      <c r="T117" t="n">
        <v>0</v>
      </c>
      <c r="U117" s="2" t="inlineStr"/>
    </row>
    <row r="118" ht="15" customHeight="1">
      <c r="A118" t="inlineStr">
        <is>
          <t>A 10452-2026</t>
        </is>
      </c>
      <c r="B118" t="inlineStr">
        <is>
          <t>avverkningsanmälan</t>
        </is>
      </c>
      <c r="C118" t="inlineStr">
        <is>
          <t>Föryngringsavverkning</t>
        </is>
      </c>
      <c r="D118" s="1" t="n">
        <v>46077</v>
      </c>
      <c r="E118" s="1" t="n">
        <v>46222</v>
      </c>
      <c r="F118" t="inlineStr">
        <is>
          <t>STOCKHOLMS LÄN</t>
        </is>
      </c>
      <c r="G118" t="inlineStr">
        <is>
          <t>SÖDERTÄLJE</t>
        </is>
      </c>
      <c r="I118" t="n">
        <v>0.4</v>
      </c>
      <c r="J118" t="n">
        <v>0</v>
      </c>
      <c r="K118" t="n">
        <v>0</v>
      </c>
      <c r="L118" t="n">
        <v>0</v>
      </c>
      <c r="M118" t="n">
        <v>0</v>
      </c>
      <c r="N118" t="n">
        <v>0</v>
      </c>
      <c r="O118" t="n">
        <v>0</v>
      </c>
      <c r="P118" t="n">
        <v>0</v>
      </c>
      <c r="Q118" t="n">
        <v>0</v>
      </c>
      <c r="R118" t="n">
        <v>0</v>
      </c>
      <c r="S118" t="n">
        <v>0</v>
      </c>
      <c r="T118" t="n">
        <v>0</v>
      </c>
      <c r="U118" s="2" t="inlineStr"/>
    </row>
    <row r="119" ht="15" customHeight="1">
      <c r="A119" t="inlineStr">
        <is>
          <t>A 10426-2026</t>
        </is>
      </c>
      <c r="B119" t="inlineStr">
        <is>
          <t>avverkningsanmälan</t>
        </is>
      </c>
      <c r="C119" t="inlineStr">
        <is>
          <t>Föryngringsavverkning</t>
        </is>
      </c>
      <c r="D119" s="1" t="n">
        <v>46077</v>
      </c>
      <c r="E119" s="1" t="n">
        <v>46222</v>
      </c>
      <c r="F119" t="inlineStr">
        <is>
          <t>STOCKHOLMS LÄN</t>
        </is>
      </c>
      <c r="G119" t="inlineStr">
        <is>
          <t>SÖDERTÄLJE</t>
        </is>
      </c>
      <c r="I119" t="n">
        <v>0.3</v>
      </c>
      <c r="J119" t="n">
        <v>0</v>
      </c>
      <c r="K119" t="n">
        <v>0</v>
      </c>
      <c r="L119" t="n">
        <v>0</v>
      </c>
      <c r="M119" t="n">
        <v>0</v>
      </c>
      <c r="N119" t="n">
        <v>0</v>
      </c>
      <c r="O119" t="n">
        <v>0</v>
      </c>
      <c r="P119" t="n">
        <v>0</v>
      </c>
      <c r="Q119" t="n">
        <v>0</v>
      </c>
      <c r="R119" t="n">
        <v>0</v>
      </c>
      <c r="S119" t="n">
        <v>0</v>
      </c>
      <c r="T119" t="n">
        <v>0</v>
      </c>
      <c r="U119" s="2" t="inlineStr"/>
    </row>
    <row r="120" ht="15" customHeight="1">
      <c r="A120" t="inlineStr">
        <is>
          <t>A 45145-2022</t>
        </is>
      </c>
      <c r="B120" t="inlineStr">
        <is>
          <t>avverkningsanmälan</t>
        </is>
      </c>
      <c r="C120" t="inlineStr">
        <is>
          <t>Föryngringsavverkning</t>
        </is>
      </c>
      <c r="D120" s="1" t="n">
        <v>44844</v>
      </c>
      <c r="E120" s="1" t="n">
        <v>46222</v>
      </c>
      <c r="F120" t="inlineStr">
        <is>
          <t>STOCKHOLMS LÄN</t>
        </is>
      </c>
      <c r="G120" t="inlineStr">
        <is>
          <t>SÖDERTÄLJE</t>
        </is>
      </c>
      <c r="I120" t="n">
        <v>2.9</v>
      </c>
      <c r="J120" t="n">
        <v>0</v>
      </c>
      <c r="K120" t="n">
        <v>0</v>
      </c>
      <c r="L120" t="n">
        <v>0</v>
      </c>
      <c r="M120" t="n">
        <v>0</v>
      </c>
      <c r="N120" t="n">
        <v>0</v>
      </c>
      <c r="O120" t="n">
        <v>0</v>
      </c>
      <c r="P120" t="n">
        <v>0</v>
      </c>
      <c r="Q120" t="n">
        <v>0</v>
      </c>
      <c r="R120" t="n">
        <v>0</v>
      </c>
      <c r="S120" t="n">
        <v>0</v>
      </c>
      <c r="T120" t="n">
        <v>0</v>
      </c>
      <c r="U120" s="2" t="inlineStr"/>
    </row>
    <row r="121" ht="15" customHeight="1">
      <c r="A121" t="inlineStr">
        <is>
          <t>A 10450-2026</t>
        </is>
      </c>
      <c r="B121" t="inlineStr">
        <is>
          <t>avverkningsanmälan</t>
        </is>
      </c>
      <c r="C121" t="inlineStr">
        <is>
          <t>Föryngringsavverkning</t>
        </is>
      </c>
      <c r="D121" s="1" t="n">
        <v>46077</v>
      </c>
      <c r="E121" s="1" t="n">
        <v>46222</v>
      </c>
      <c r="F121" t="inlineStr">
        <is>
          <t>STOCKHOLMS LÄN</t>
        </is>
      </c>
      <c r="G121" t="inlineStr">
        <is>
          <t>SÖDERTÄLJE</t>
        </is>
      </c>
      <c r="I121" t="n">
        <v>0.3</v>
      </c>
      <c r="J121" t="n">
        <v>0</v>
      </c>
      <c r="K121" t="n">
        <v>0</v>
      </c>
      <c r="L121" t="n">
        <v>0</v>
      </c>
      <c r="M121" t="n">
        <v>0</v>
      </c>
      <c r="N121" t="n">
        <v>0</v>
      </c>
      <c r="O121" t="n">
        <v>0</v>
      </c>
      <c r="P121" t="n">
        <v>0</v>
      </c>
      <c r="Q121" t="n">
        <v>0</v>
      </c>
      <c r="R121" t="n">
        <v>0</v>
      </c>
      <c r="S121" t="n">
        <v>0</v>
      </c>
      <c r="T121" t="n">
        <v>0</v>
      </c>
      <c r="U121" s="2" t="inlineStr"/>
    </row>
    <row r="122" ht="15" customHeight="1">
      <c r="A122" t="inlineStr">
        <is>
          <t>A 10327-2026</t>
        </is>
      </c>
      <c r="B122" t="inlineStr">
        <is>
          <t>avverkningsanmälan</t>
        </is>
      </c>
      <c r="C122" t="inlineStr">
        <is>
          <t>Föryngringsavverkning</t>
        </is>
      </c>
      <c r="D122" s="1" t="n">
        <v>46076</v>
      </c>
      <c r="E122" s="1" t="n">
        <v>46222</v>
      </c>
      <c r="F122" t="inlineStr">
        <is>
          <t>STOCKHOLMS LÄN</t>
        </is>
      </c>
      <c r="G122" t="inlineStr">
        <is>
          <t>SÖDERTÄLJE</t>
        </is>
      </c>
      <c r="H122" t="inlineStr">
        <is>
          <t>Sveaskog</t>
        </is>
      </c>
      <c r="I122" t="n">
        <v>0.5</v>
      </c>
      <c r="J122" t="n">
        <v>0</v>
      </c>
      <c r="K122" t="n">
        <v>0</v>
      </c>
      <c r="L122" t="n">
        <v>0</v>
      </c>
      <c r="M122" t="n">
        <v>0</v>
      </c>
      <c r="N122" t="n">
        <v>0</v>
      </c>
      <c r="O122" t="n">
        <v>0</v>
      </c>
      <c r="P122" t="n">
        <v>0</v>
      </c>
      <c r="Q122" t="n">
        <v>0</v>
      </c>
      <c r="R122" t="n">
        <v>0</v>
      </c>
      <c r="S122" t="n">
        <v>0</v>
      </c>
      <c r="T122" t="n">
        <v>0</v>
      </c>
      <c r="U122" s="2" t="inlineStr"/>
    </row>
    <row r="123" ht="15" customHeight="1">
      <c r="A123" t="inlineStr">
        <is>
          <t>A 1381-2023</t>
        </is>
      </c>
      <c r="B123" t="inlineStr">
        <is>
          <t>avverkningsanmälan</t>
        </is>
      </c>
      <c r="C123" t="inlineStr">
        <is>
          <t>Föryngringsavverkning</t>
        </is>
      </c>
      <c r="D123" s="1" t="n">
        <v>44936</v>
      </c>
      <c r="E123" s="1" t="n">
        <v>46222</v>
      </c>
      <c r="F123" t="inlineStr">
        <is>
          <t>STOCKHOLMS LÄN</t>
        </is>
      </c>
      <c r="G123" t="inlineStr">
        <is>
          <t>SÖDERTÄLJE</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34193-2024</t>
        </is>
      </c>
      <c r="B124" t="inlineStr">
        <is>
          <t>avverkningsanmälan</t>
        </is>
      </c>
      <c r="C124" t="inlineStr">
        <is>
          <t>Föryngringsavverkning</t>
        </is>
      </c>
      <c r="D124" s="1" t="n">
        <v>45524</v>
      </c>
      <c r="E124" s="1" t="n">
        <v>46222</v>
      </c>
      <c r="F124" t="inlineStr">
        <is>
          <t>STOCKHOLMS LÄN</t>
        </is>
      </c>
      <c r="G124" t="inlineStr">
        <is>
          <t>SÖDERTÄLJE</t>
        </is>
      </c>
      <c r="I124" t="n">
        <v>9.199999999999999</v>
      </c>
      <c r="J124" t="n">
        <v>0</v>
      </c>
      <c r="K124" t="n">
        <v>0</v>
      </c>
      <c r="L124" t="n">
        <v>0</v>
      </c>
      <c r="M124" t="n">
        <v>0</v>
      </c>
      <c r="N124" t="n">
        <v>0</v>
      </c>
      <c r="O124" t="n">
        <v>0</v>
      </c>
      <c r="P124" t="n">
        <v>0</v>
      </c>
      <c r="Q124" t="n">
        <v>0</v>
      </c>
      <c r="R124" t="n">
        <v>0</v>
      </c>
      <c r="S124" t="n">
        <v>0</v>
      </c>
      <c r="T124" t="n">
        <v>0</v>
      </c>
      <c r="U124" s="2" t="inlineStr"/>
    </row>
    <row r="125" ht="15" customHeight="1">
      <c r="A125" t="inlineStr">
        <is>
          <t>A 46688-2021</t>
        </is>
      </c>
      <c r="B125" t="inlineStr">
        <is>
          <t>avverkningsanmälan</t>
        </is>
      </c>
      <c r="C125" t="inlineStr">
        <is>
          <t>Föryngringsavverkning</t>
        </is>
      </c>
      <c r="D125" s="1" t="n">
        <v>44445</v>
      </c>
      <c r="E125" s="1" t="n">
        <v>46222</v>
      </c>
      <c r="F125" t="inlineStr">
        <is>
          <t>STOCKHOLMS LÄN</t>
        </is>
      </c>
      <c r="G125" t="inlineStr">
        <is>
          <t>SÖDERTÄLJE</t>
        </is>
      </c>
      <c r="I125" t="n">
        <v>2.1</v>
      </c>
      <c r="J125" t="n">
        <v>0</v>
      </c>
      <c r="K125" t="n">
        <v>0</v>
      </c>
      <c r="L125" t="n">
        <v>0</v>
      </c>
      <c r="M125" t="n">
        <v>0</v>
      </c>
      <c r="N125" t="n">
        <v>0</v>
      </c>
      <c r="O125" t="n">
        <v>0</v>
      </c>
      <c r="P125" t="n">
        <v>0</v>
      </c>
      <c r="Q125" t="n">
        <v>0</v>
      </c>
      <c r="R125" t="n">
        <v>0</v>
      </c>
      <c r="S125" t="n">
        <v>0</v>
      </c>
      <c r="T125" t="n">
        <v>0</v>
      </c>
      <c r="U125" s="2" t="inlineStr"/>
    </row>
    <row r="126" ht="15" customHeight="1">
      <c r="A126" t="inlineStr">
        <is>
          <t>A 12121-2026</t>
        </is>
      </c>
      <c r="B126" t="inlineStr">
        <is>
          <t>avverkningsanmälan</t>
        </is>
      </c>
      <c r="C126" t="inlineStr">
        <is>
          <t>Föryngringsavverkning</t>
        </is>
      </c>
      <c r="D126" s="1" t="n">
        <v>46086</v>
      </c>
      <c r="E126" s="1" t="n">
        <v>46222</v>
      </c>
      <c r="F126" t="inlineStr">
        <is>
          <t>STOCKHOLMS LÄN</t>
        </is>
      </c>
      <c r="G126" t="inlineStr">
        <is>
          <t>SÖDERTÄLJE</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12116-2026</t>
        </is>
      </c>
      <c r="B127" t="inlineStr">
        <is>
          <t>avverkningsanmälan</t>
        </is>
      </c>
      <c r="C127" t="inlineStr">
        <is>
          <t>Föryngringsavverkning</t>
        </is>
      </c>
      <c r="D127" s="1" t="n">
        <v>46086</v>
      </c>
      <c r="E127" s="1" t="n">
        <v>46222</v>
      </c>
      <c r="F127" t="inlineStr">
        <is>
          <t>STOCKHOLMS LÄN</t>
        </is>
      </c>
      <c r="G127" t="inlineStr">
        <is>
          <t>SÖDERTÄLJE</t>
        </is>
      </c>
      <c r="I127" t="n">
        <v>1.9</v>
      </c>
      <c r="J127" t="n">
        <v>0</v>
      </c>
      <c r="K127" t="n">
        <v>0</v>
      </c>
      <c r="L127" t="n">
        <v>0</v>
      </c>
      <c r="M127" t="n">
        <v>0</v>
      </c>
      <c r="N127" t="n">
        <v>0</v>
      </c>
      <c r="O127" t="n">
        <v>0</v>
      </c>
      <c r="P127" t="n">
        <v>0</v>
      </c>
      <c r="Q127" t="n">
        <v>0</v>
      </c>
      <c r="R127" t="n">
        <v>0</v>
      </c>
      <c r="S127" t="n">
        <v>0</v>
      </c>
      <c r="T127" t="n">
        <v>0</v>
      </c>
      <c r="U127" s="2" t="inlineStr"/>
    </row>
    <row r="128" ht="15" customHeight="1">
      <c r="A128" t="inlineStr">
        <is>
          <t>A 6886-2022</t>
        </is>
      </c>
      <c r="B128" t="inlineStr">
        <is>
          <t>avverkningsanmälan</t>
        </is>
      </c>
      <c r="C128" t="inlineStr">
        <is>
          <t>Föryngringsavverkning</t>
        </is>
      </c>
      <c r="D128" s="1" t="n">
        <v>44602</v>
      </c>
      <c r="E128" s="1" t="n">
        <v>46222</v>
      </c>
      <c r="F128" t="inlineStr">
        <is>
          <t>STOCKHOLMS LÄN</t>
        </is>
      </c>
      <c r="G128" t="inlineStr">
        <is>
          <t>SÖDERTÄLJE</t>
        </is>
      </c>
      <c r="I128" t="n">
        <v>1.2</v>
      </c>
      <c r="J128" t="n">
        <v>0</v>
      </c>
      <c r="K128" t="n">
        <v>0</v>
      </c>
      <c r="L128" t="n">
        <v>0</v>
      </c>
      <c r="M128" t="n">
        <v>0</v>
      </c>
      <c r="N128" t="n">
        <v>0</v>
      </c>
      <c r="O128" t="n">
        <v>0</v>
      </c>
      <c r="P128" t="n">
        <v>0</v>
      </c>
      <c r="Q128" t="n">
        <v>0</v>
      </c>
      <c r="R128" t="n">
        <v>0</v>
      </c>
      <c r="S128" t="n">
        <v>0</v>
      </c>
      <c r="T128" t="n">
        <v>0</v>
      </c>
      <c r="U128" s="2" t="inlineStr"/>
    </row>
    <row r="129" ht="15" customHeight="1">
      <c r="A129" t="inlineStr">
        <is>
          <t>A 13943-2026</t>
        </is>
      </c>
      <c r="B129" t="inlineStr">
        <is>
          <t>avverkningsanmälan</t>
        </is>
      </c>
      <c r="C129" t="inlineStr">
        <is>
          <t>Föryngringsavverkning</t>
        </is>
      </c>
      <c r="D129" s="1" t="n">
        <v>46098</v>
      </c>
      <c r="E129" s="1" t="n">
        <v>46222</v>
      </c>
      <c r="F129" t="inlineStr">
        <is>
          <t>STOCKHOLMS LÄN</t>
        </is>
      </c>
      <c r="G129" t="inlineStr">
        <is>
          <t>SÖDERTÄLJE</t>
        </is>
      </c>
      <c r="I129" t="n">
        <v>3.1</v>
      </c>
      <c r="J129" t="n">
        <v>0</v>
      </c>
      <c r="K129" t="n">
        <v>0</v>
      </c>
      <c r="L129" t="n">
        <v>0</v>
      </c>
      <c r="M129" t="n">
        <v>0</v>
      </c>
      <c r="N129" t="n">
        <v>0</v>
      </c>
      <c r="O129" t="n">
        <v>0</v>
      </c>
      <c r="P129" t="n">
        <v>0</v>
      </c>
      <c r="Q129" t="n">
        <v>0</v>
      </c>
      <c r="R129" t="n">
        <v>0</v>
      </c>
      <c r="S129" t="n">
        <v>0</v>
      </c>
      <c r="T129" t="n">
        <v>0</v>
      </c>
      <c r="U129" s="2" t="inlineStr"/>
    </row>
    <row r="130" ht="15" customHeight="1">
      <c r="A130" t="inlineStr">
        <is>
          <t>A 62047-2025</t>
        </is>
      </c>
      <c r="B130" t="inlineStr">
        <is>
          <t>avverkningsanmälan</t>
        </is>
      </c>
      <c r="C130" t="inlineStr">
        <is>
          <t>Föryngringsavverkning</t>
        </is>
      </c>
      <c r="D130" s="1" t="n">
        <v>46006</v>
      </c>
      <c r="E130" s="1" t="n">
        <v>46222</v>
      </c>
      <c r="F130" t="inlineStr">
        <is>
          <t>STOCKHOLMS LÄN</t>
        </is>
      </c>
      <c r="G130" t="inlineStr">
        <is>
          <t>SÖDERTÄLJE</t>
        </is>
      </c>
      <c r="I130" t="n">
        <v>2.7</v>
      </c>
      <c r="J130" t="n">
        <v>0</v>
      </c>
      <c r="K130" t="n">
        <v>0</v>
      </c>
      <c r="L130" t="n">
        <v>0</v>
      </c>
      <c r="M130" t="n">
        <v>0</v>
      </c>
      <c r="N130" t="n">
        <v>0</v>
      </c>
      <c r="O130" t="n">
        <v>0</v>
      </c>
      <c r="P130" t="n">
        <v>0</v>
      </c>
      <c r="Q130" t="n">
        <v>0</v>
      </c>
      <c r="R130" t="n">
        <v>0</v>
      </c>
      <c r="S130" t="n">
        <v>0</v>
      </c>
      <c r="T130" t="n">
        <v>0</v>
      </c>
      <c r="U130" s="2" t="inlineStr"/>
    </row>
    <row r="131" ht="15" customHeight="1">
      <c r="A131" t="inlineStr">
        <is>
          <t>A 487-2024</t>
        </is>
      </c>
      <c r="B131" t="inlineStr">
        <is>
          <t>avverkningsanmälan</t>
        </is>
      </c>
      <c r="C131" t="inlineStr">
        <is>
          <t>Föryngringsavverkning</t>
        </is>
      </c>
      <c r="D131" s="1" t="n">
        <v>45298</v>
      </c>
      <c r="E131" s="1" t="n">
        <v>46222</v>
      </c>
      <c r="F131" t="inlineStr">
        <is>
          <t>STOCKHOLMS LÄN</t>
        </is>
      </c>
      <c r="G131" t="inlineStr">
        <is>
          <t>SÖDERTÄLJE</t>
        </is>
      </c>
      <c r="I131" t="n">
        <v>4.3</v>
      </c>
      <c r="J131" t="n">
        <v>0</v>
      </c>
      <c r="K131" t="n">
        <v>0</v>
      </c>
      <c r="L131" t="n">
        <v>0</v>
      </c>
      <c r="M131" t="n">
        <v>0</v>
      </c>
      <c r="N131" t="n">
        <v>0</v>
      </c>
      <c r="O131" t="n">
        <v>0</v>
      </c>
      <c r="P131" t="n">
        <v>0</v>
      </c>
      <c r="Q131" t="n">
        <v>0</v>
      </c>
      <c r="R131" t="n">
        <v>0</v>
      </c>
      <c r="S131" t="n">
        <v>0</v>
      </c>
      <c r="T131" t="n">
        <v>0</v>
      </c>
      <c r="U131" s="2" t="inlineStr"/>
    </row>
    <row r="132" ht="15" customHeight="1">
      <c r="A132" t="inlineStr">
        <is>
          <t>A 57884-2021</t>
        </is>
      </c>
      <c r="B132" t="inlineStr">
        <is>
          <t>avverkningsanmälan</t>
        </is>
      </c>
      <c r="C132" t="inlineStr">
        <is>
          <t>Föryngringsavverkning</t>
        </is>
      </c>
      <c r="D132" s="1" t="n">
        <v>44485</v>
      </c>
      <c r="E132" s="1" t="n">
        <v>46222</v>
      </c>
      <c r="F132" t="inlineStr">
        <is>
          <t>STOCKHOLMS LÄN</t>
        </is>
      </c>
      <c r="G132" t="inlineStr">
        <is>
          <t>SÖDERTÄLJE</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62049-2025</t>
        </is>
      </c>
      <c r="B133" t="inlineStr">
        <is>
          <t>avverkningsanmälan</t>
        </is>
      </c>
      <c r="C133" t="inlineStr">
        <is>
          <t>Föryngringsavverkning</t>
        </is>
      </c>
      <c r="D133" s="1" t="n">
        <v>46006</v>
      </c>
      <c r="E133" s="1" t="n">
        <v>46222</v>
      </c>
      <c r="F133" t="inlineStr">
        <is>
          <t>STOCKHOLMS LÄN</t>
        </is>
      </c>
      <c r="G133" t="inlineStr">
        <is>
          <t>SÖDERTÄLJE</t>
        </is>
      </c>
      <c r="I133" t="n">
        <v>10.4</v>
      </c>
      <c r="J133" t="n">
        <v>0</v>
      </c>
      <c r="K133" t="n">
        <v>0</v>
      </c>
      <c r="L133" t="n">
        <v>0</v>
      </c>
      <c r="M133" t="n">
        <v>0</v>
      </c>
      <c r="N133" t="n">
        <v>0</v>
      </c>
      <c r="O133" t="n">
        <v>0</v>
      </c>
      <c r="P133" t="n">
        <v>0</v>
      </c>
      <c r="Q133" t="n">
        <v>0</v>
      </c>
      <c r="R133" t="n">
        <v>0</v>
      </c>
      <c r="S133" t="n">
        <v>0</v>
      </c>
      <c r="T133" t="n">
        <v>0</v>
      </c>
      <c r="U133" s="2" t="inlineStr"/>
    </row>
    <row r="134" ht="15" customHeight="1">
      <c r="A134" t="inlineStr">
        <is>
          <t>A 28981-2023</t>
        </is>
      </c>
      <c r="B134" t="inlineStr">
        <is>
          <t>avverkningsanmälan</t>
        </is>
      </c>
      <c r="C134" t="inlineStr">
        <is>
          <t>Föryngringsavverkning</t>
        </is>
      </c>
      <c r="D134" s="1" t="n">
        <v>45104</v>
      </c>
      <c r="E134" s="1" t="n">
        <v>46222</v>
      </c>
      <c r="F134" t="inlineStr">
        <is>
          <t>STOCKHOLMS LÄN</t>
        </is>
      </c>
      <c r="G134" t="inlineStr">
        <is>
          <t>SÖDERTÄLJE</t>
        </is>
      </c>
      <c r="I134" t="n">
        <v>12.2</v>
      </c>
      <c r="J134" t="n">
        <v>0</v>
      </c>
      <c r="K134" t="n">
        <v>0</v>
      </c>
      <c r="L134" t="n">
        <v>0</v>
      </c>
      <c r="M134" t="n">
        <v>0</v>
      </c>
      <c r="N134" t="n">
        <v>0</v>
      </c>
      <c r="O134" t="n">
        <v>0</v>
      </c>
      <c r="P134" t="n">
        <v>0</v>
      </c>
      <c r="Q134" t="n">
        <v>0</v>
      </c>
      <c r="R134" t="n">
        <v>0</v>
      </c>
      <c r="S134" t="n">
        <v>0</v>
      </c>
      <c r="T134" t="n">
        <v>0</v>
      </c>
      <c r="U134" s="2" t="inlineStr"/>
    </row>
    <row r="135" ht="15" customHeight="1">
      <c r="A135" t="inlineStr">
        <is>
          <t>A 234-2026</t>
        </is>
      </c>
      <c r="B135" t="inlineStr">
        <is>
          <t>avverkningsanmälan</t>
        </is>
      </c>
      <c r="C135" t="inlineStr">
        <is>
          <t>Föryngringsavverkning</t>
        </is>
      </c>
      <c r="D135" s="1" t="n">
        <v>46027</v>
      </c>
      <c r="E135" s="1" t="n">
        <v>46222</v>
      </c>
      <c r="F135" t="inlineStr">
        <is>
          <t>STOCKHOLMS LÄN</t>
        </is>
      </c>
      <c r="G135" t="inlineStr">
        <is>
          <t>SÖDERTÄLJE</t>
        </is>
      </c>
      <c r="I135" t="n">
        <v>1.4</v>
      </c>
      <c r="J135" t="n">
        <v>0</v>
      </c>
      <c r="K135" t="n">
        <v>0</v>
      </c>
      <c r="L135" t="n">
        <v>0</v>
      </c>
      <c r="M135" t="n">
        <v>0</v>
      </c>
      <c r="N135" t="n">
        <v>0</v>
      </c>
      <c r="O135" t="n">
        <v>0</v>
      </c>
      <c r="P135" t="n">
        <v>0</v>
      </c>
      <c r="Q135" t="n">
        <v>0</v>
      </c>
      <c r="R135" t="n">
        <v>0</v>
      </c>
      <c r="S135" t="n">
        <v>0</v>
      </c>
      <c r="T135" t="n">
        <v>0</v>
      </c>
      <c r="U135" s="2" t="inlineStr"/>
    </row>
    <row r="136" ht="15" customHeight="1">
      <c r="A136" t="inlineStr">
        <is>
          <t>A 243-2026</t>
        </is>
      </c>
      <c r="B136" t="inlineStr">
        <is>
          <t>avverkningsanmälan</t>
        </is>
      </c>
      <c r="C136" t="inlineStr">
        <is>
          <t>Föryngringsavverkning</t>
        </is>
      </c>
      <c r="D136" s="1" t="n">
        <v>46027</v>
      </c>
      <c r="E136" s="1" t="n">
        <v>46222</v>
      </c>
      <c r="F136" t="inlineStr">
        <is>
          <t>STOCKHOLMS LÄN</t>
        </is>
      </c>
      <c r="G136" t="inlineStr">
        <is>
          <t>SÖDERTÄLJE</t>
        </is>
      </c>
      <c r="I136" t="n">
        <v>3.7</v>
      </c>
      <c r="J136" t="n">
        <v>0</v>
      </c>
      <c r="K136" t="n">
        <v>0</v>
      </c>
      <c r="L136" t="n">
        <v>0</v>
      </c>
      <c r="M136" t="n">
        <v>0</v>
      </c>
      <c r="N136" t="n">
        <v>0</v>
      </c>
      <c r="O136" t="n">
        <v>0</v>
      </c>
      <c r="P136" t="n">
        <v>0</v>
      </c>
      <c r="Q136" t="n">
        <v>0</v>
      </c>
      <c r="R136" t="n">
        <v>0</v>
      </c>
      <c r="S136" t="n">
        <v>0</v>
      </c>
      <c r="T136" t="n">
        <v>0</v>
      </c>
      <c r="U136" s="2" t="inlineStr"/>
    </row>
    <row r="137" ht="15" customHeight="1">
      <c r="A137" t="inlineStr">
        <is>
          <t>A 231-2026</t>
        </is>
      </c>
      <c r="B137" t="inlineStr">
        <is>
          <t>avverkningsanmälan</t>
        </is>
      </c>
      <c r="C137" t="inlineStr">
        <is>
          <t>Föryngringsavverkning</t>
        </is>
      </c>
      <c r="D137" s="1" t="n">
        <v>46027</v>
      </c>
      <c r="E137" s="1" t="n">
        <v>46222</v>
      </c>
      <c r="F137" t="inlineStr">
        <is>
          <t>STOCKHOLMS LÄN</t>
        </is>
      </c>
      <c r="G137" t="inlineStr">
        <is>
          <t>SÖDERTÄLJE</t>
        </is>
      </c>
      <c r="I137" t="n">
        <v>1.2</v>
      </c>
      <c r="J137" t="n">
        <v>0</v>
      </c>
      <c r="K137" t="n">
        <v>0</v>
      </c>
      <c r="L137" t="n">
        <v>0</v>
      </c>
      <c r="M137" t="n">
        <v>0</v>
      </c>
      <c r="N137" t="n">
        <v>0</v>
      </c>
      <c r="O137" t="n">
        <v>0</v>
      </c>
      <c r="P137" t="n">
        <v>0</v>
      </c>
      <c r="Q137" t="n">
        <v>0</v>
      </c>
      <c r="R137" t="n">
        <v>0</v>
      </c>
      <c r="S137" t="n">
        <v>0</v>
      </c>
      <c r="T137" t="n">
        <v>0</v>
      </c>
      <c r="U137" s="2" t="inlineStr"/>
    </row>
    <row r="138" ht="15" customHeight="1">
      <c r="A138" t="inlineStr">
        <is>
          <t>A 233-2026</t>
        </is>
      </c>
      <c r="B138" t="inlineStr">
        <is>
          <t>avverkningsanmälan</t>
        </is>
      </c>
      <c r="C138" t="inlineStr">
        <is>
          <t>Föryngringsavverkning</t>
        </is>
      </c>
      <c r="D138" s="1" t="n">
        <v>46027</v>
      </c>
      <c r="E138" s="1" t="n">
        <v>46222</v>
      </c>
      <c r="F138" t="inlineStr">
        <is>
          <t>STOCKHOLMS LÄN</t>
        </is>
      </c>
      <c r="G138" t="inlineStr">
        <is>
          <t>SÖDERTÄLJE</t>
        </is>
      </c>
      <c r="I138" t="n">
        <v>1</v>
      </c>
      <c r="J138" t="n">
        <v>0</v>
      </c>
      <c r="K138" t="n">
        <v>0</v>
      </c>
      <c r="L138" t="n">
        <v>0</v>
      </c>
      <c r="M138" t="n">
        <v>0</v>
      </c>
      <c r="N138" t="n">
        <v>0</v>
      </c>
      <c r="O138" t="n">
        <v>0</v>
      </c>
      <c r="P138" t="n">
        <v>0</v>
      </c>
      <c r="Q138" t="n">
        <v>0</v>
      </c>
      <c r="R138" t="n">
        <v>0</v>
      </c>
      <c r="S138" t="n">
        <v>0</v>
      </c>
      <c r="T138" t="n">
        <v>0</v>
      </c>
      <c r="U138" s="2" t="inlineStr"/>
    </row>
    <row r="139" ht="15" customHeight="1">
      <c r="A139" t="inlineStr">
        <is>
          <t>A 50059-2021</t>
        </is>
      </c>
      <c r="B139" t="inlineStr">
        <is>
          <t>avverkningsanmälan</t>
        </is>
      </c>
      <c r="C139" t="inlineStr">
        <is>
          <t>Föryngringsavverkning</t>
        </is>
      </c>
      <c r="D139" s="1" t="n">
        <v>44455</v>
      </c>
      <c r="E139" s="1" t="n">
        <v>46222</v>
      </c>
      <c r="F139" t="inlineStr">
        <is>
          <t>STOCKHOLMS LÄN</t>
        </is>
      </c>
      <c r="G139" t="inlineStr">
        <is>
          <t>SÖDERTÄLJE</t>
        </is>
      </c>
      <c r="I139" t="n">
        <v>4</v>
      </c>
      <c r="J139" t="n">
        <v>0</v>
      </c>
      <c r="K139" t="n">
        <v>0</v>
      </c>
      <c r="L139" t="n">
        <v>0</v>
      </c>
      <c r="M139" t="n">
        <v>0</v>
      </c>
      <c r="N139" t="n">
        <v>0</v>
      </c>
      <c r="O139" t="n">
        <v>0</v>
      </c>
      <c r="P139" t="n">
        <v>0</v>
      </c>
      <c r="Q139" t="n">
        <v>0</v>
      </c>
      <c r="R139" t="n">
        <v>0</v>
      </c>
      <c r="S139" t="n">
        <v>0</v>
      </c>
      <c r="T139" t="n">
        <v>0</v>
      </c>
      <c r="U139" s="2" t="inlineStr"/>
    </row>
    <row r="140" ht="15" customHeight="1">
      <c r="A140" t="inlineStr">
        <is>
          <t>A 1696-2026</t>
        </is>
      </c>
      <c r="B140" t="inlineStr">
        <is>
          <t>avverkningsanmälan</t>
        </is>
      </c>
      <c r="C140" t="inlineStr">
        <is>
          <t>Föryngringsavverkning</t>
        </is>
      </c>
      <c r="D140" s="1" t="n">
        <v>46034</v>
      </c>
      <c r="E140" s="1" t="n">
        <v>46222</v>
      </c>
      <c r="F140" t="inlineStr">
        <is>
          <t>STOCKHOLMS LÄN</t>
        </is>
      </c>
      <c r="G140" t="inlineStr">
        <is>
          <t>SÖDERTÄLJE</t>
        </is>
      </c>
      <c r="I140" t="n">
        <v>3.4</v>
      </c>
      <c r="J140" t="n">
        <v>0</v>
      </c>
      <c r="K140" t="n">
        <v>0</v>
      </c>
      <c r="L140" t="n">
        <v>0</v>
      </c>
      <c r="M140" t="n">
        <v>0</v>
      </c>
      <c r="N140" t="n">
        <v>0</v>
      </c>
      <c r="O140" t="n">
        <v>0</v>
      </c>
      <c r="P140" t="n">
        <v>0</v>
      </c>
      <c r="Q140" t="n">
        <v>0</v>
      </c>
      <c r="R140" t="n">
        <v>0</v>
      </c>
      <c r="S140" t="n">
        <v>0</v>
      </c>
      <c r="T140" t="n">
        <v>0</v>
      </c>
      <c r="U140" s="2" t="inlineStr"/>
    </row>
    <row r="141" ht="15" customHeight="1">
      <c r="A141" t="inlineStr">
        <is>
          <t>A 1715-2026</t>
        </is>
      </c>
      <c r="B141" t="inlineStr">
        <is>
          <t>avverkningsanmälan</t>
        </is>
      </c>
      <c r="C141" t="inlineStr">
        <is>
          <t>Föryngringsavverkning</t>
        </is>
      </c>
      <c r="D141" s="1" t="n">
        <v>46034</v>
      </c>
      <c r="E141" s="1" t="n">
        <v>46222</v>
      </c>
      <c r="F141" t="inlineStr">
        <is>
          <t>STOCKHOLMS LÄN</t>
        </is>
      </c>
      <c r="G141" t="inlineStr">
        <is>
          <t>SÖDERTÄLJE</t>
        </is>
      </c>
      <c r="I141" t="n">
        <v>6.5</v>
      </c>
      <c r="J141" t="n">
        <v>0</v>
      </c>
      <c r="K141" t="n">
        <v>0</v>
      </c>
      <c r="L141" t="n">
        <v>0</v>
      </c>
      <c r="M141" t="n">
        <v>0</v>
      </c>
      <c r="N141" t="n">
        <v>0</v>
      </c>
      <c r="O141" t="n">
        <v>0</v>
      </c>
      <c r="P141" t="n">
        <v>0</v>
      </c>
      <c r="Q141" t="n">
        <v>0</v>
      </c>
      <c r="R141" t="n">
        <v>0</v>
      </c>
      <c r="S141" t="n">
        <v>0</v>
      </c>
      <c r="T141" t="n">
        <v>0</v>
      </c>
      <c r="U141" s="2" t="inlineStr"/>
    </row>
    <row r="142" ht="15" customHeight="1">
      <c r="A142" t="inlineStr">
        <is>
          <t>A 11343-2025</t>
        </is>
      </c>
      <c r="B142" t="inlineStr">
        <is>
          <t>avverkningsanmälan</t>
        </is>
      </c>
      <c r="C142" t="inlineStr">
        <is>
          <t>Föryngringsavverkning</t>
        </is>
      </c>
      <c r="D142" s="1" t="n">
        <v>45726</v>
      </c>
      <c r="E142" s="1" t="n">
        <v>46222</v>
      </c>
      <c r="F142" t="inlineStr">
        <is>
          <t>STOCKHOLMS LÄN</t>
        </is>
      </c>
      <c r="G142" t="inlineStr">
        <is>
          <t>SÖDERTÄLJE</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24034-2022</t>
        </is>
      </c>
      <c r="B143" t="inlineStr">
        <is>
          <t>avverkningsanmälan</t>
        </is>
      </c>
      <c r="C143" t="inlineStr">
        <is>
          <t>Föryngringsavverkning</t>
        </is>
      </c>
      <c r="D143" s="1" t="n">
        <v>44724</v>
      </c>
      <c r="E143" s="1" t="n">
        <v>46222</v>
      </c>
      <c r="F143" t="inlineStr">
        <is>
          <t>STOCKHOLMS LÄN</t>
        </is>
      </c>
      <c r="G143" t="inlineStr">
        <is>
          <t>SÖDERTÄLJE</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2685-2026</t>
        </is>
      </c>
      <c r="B144" t="inlineStr">
        <is>
          <t>avverkningsanmälan</t>
        </is>
      </c>
      <c r="C144" t="inlineStr">
        <is>
          <t>Föryngringsavverkning</t>
        </is>
      </c>
      <c r="D144" s="1" t="n">
        <v>46037</v>
      </c>
      <c r="E144" s="1" t="n">
        <v>46222</v>
      </c>
      <c r="F144" t="inlineStr">
        <is>
          <t>STOCKHOLMS LÄN</t>
        </is>
      </c>
      <c r="G144" t="inlineStr">
        <is>
          <t>SÖDERTÄLJE</t>
        </is>
      </c>
      <c r="I144" t="n">
        <v>5.1</v>
      </c>
      <c r="J144" t="n">
        <v>0</v>
      </c>
      <c r="K144" t="n">
        <v>0</v>
      </c>
      <c r="L144" t="n">
        <v>0</v>
      </c>
      <c r="M144" t="n">
        <v>0</v>
      </c>
      <c r="N144" t="n">
        <v>0</v>
      </c>
      <c r="O144" t="n">
        <v>0</v>
      </c>
      <c r="P144" t="n">
        <v>0</v>
      </c>
      <c r="Q144" t="n">
        <v>0</v>
      </c>
      <c r="R144" t="n">
        <v>0</v>
      </c>
      <c r="S144" t="n">
        <v>0</v>
      </c>
      <c r="T144" t="n">
        <v>0</v>
      </c>
      <c r="U144" s="2" t="inlineStr"/>
    </row>
    <row r="145" ht="15" customHeight="1">
      <c r="A145" t="inlineStr">
        <is>
          <t>A 15964-2026</t>
        </is>
      </c>
      <c r="B145" t="inlineStr">
        <is>
          <t>avverkningsanmälan</t>
        </is>
      </c>
      <c r="C145" t="inlineStr">
        <is>
          <t>Föryngringsavverkning</t>
        </is>
      </c>
      <c r="D145" s="1" t="n">
        <v>46108</v>
      </c>
      <c r="E145" s="1" t="n">
        <v>46222</v>
      </c>
      <c r="F145" t="inlineStr">
        <is>
          <t>STOCKHOLMS LÄN</t>
        </is>
      </c>
      <c r="G145" t="inlineStr">
        <is>
          <t>SÖDERTÄLJE</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41111-2023</t>
        </is>
      </c>
      <c r="B146" t="inlineStr">
        <is>
          <t>avverkningsanmälan</t>
        </is>
      </c>
      <c r="C146" t="inlineStr">
        <is>
          <t>Föryngringsavverkning</t>
        </is>
      </c>
      <c r="D146" s="1" t="n">
        <v>45173</v>
      </c>
      <c r="E146" s="1" t="n">
        <v>46222</v>
      </c>
      <c r="F146" t="inlineStr">
        <is>
          <t>STOCKHOLMS LÄN</t>
        </is>
      </c>
      <c r="G146" t="inlineStr">
        <is>
          <t>SÖDERTÄLJE</t>
        </is>
      </c>
      <c r="I146" t="n">
        <v>2.8</v>
      </c>
      <c r="J146" t="n">
        <v>0</v>
      </c>
      <c r="K146" t="n">
        <v>0</v>
      </c>
      <c r="L146" t="n">
        <v>0</v>
      </c>
      <c r="M146" t="n">
        <v>0</v>
      </c>
      <c r="N146" t="n">
        <v>0</v>
      </c>
      <c r="O146" t="n">
        <v>0</v>
      </c>
      <c r="P146" t="n">
        <v>0</v>
      </c>
      <c r="Q146" t="n">
        <v>0</v>
      </c>
      <c r="R146" t="n">
        <v>0</v>
      </c>
      <c r="S146" t="n">
        <v>0</v>
      </c>
      <c r="T146" t="n">
        <v>0</v>
      </c>
      <c r="U146" s="2" t="inlineStr"/>
    </row>
    <row r="147" ht="15" customHeight="1">
      <c r="A147" t="inlineStr">
        <is>
          <t>A 41115-2023</t>
        </is>
      </c>
      <c r="B147" t="inlineStr">
        <is>
          <t>avverkningsanmälan</t>
        </is>
      </c>
      <c r="C147" t="inlineStr">
        <is>
          <t>Föryngringsavverkning</t>
        </is>
      </c>
      <c r="D147" s="1" t="n">
        <v>45173</v>
      </c>
      <c r="E147" s="1" t="n">
        <v>46222</v>
      </c>
      <c r="F147" t="inlineStr">
        <is>
          <t>STOCKHOLMS LÄN</t>
        </is>
      </c>
      <c r="G147" t="inlineStr">
        <is>
          <t>SÖDERTÄLJE</t>
        </is>
      </c>
      <c r="I147" t="n">
        <v>3.4</v>
      </c>
      <c r="J147" t="n">
        <v>0</v>
      </c>
      <c r="K147" t="n">
        <v>0</v>
      </c>
      <c r="L147" t="n">
        <v>0</v>
      </c>
      <c r="M147" t="n">
        <v>0</v>
      </c>
      <c r="N147" t="n">
        <v>0</v>
      </c>
      <c r="O147" t="n">
        <v>0</v>
      </c>
      <c r="P147" t="n">
        <v>0</v>
      </c>
      <c r="Q147" t="n">
        <v>0</v>
      </c>
      <c r="R147" t="n">
        <v>0</v>
      </c>
      <c r="S147" t="n">
        <v>0</v>
      </c>
      <c r="T147" t="n">
        <v>0</v>
      </c>
      <c r="U147" s="2" t="inlineStr"/>
    </row>
    <row r="148" ht="15" customHeight="1">
      <c r="A148" t="inlineStr">
        <is>
          <t>A 19078-2026</t>
        </is>
      </c>
      <c r="B148" t="inlineStr">
        <is>
          <t>avverkningsanmälan</t>
        </is>
      </c>
      <c r="C148" t="inlineStr">
        <is>
          <t>Föryngringsavverkning</t>
        </is>
      </c>
      <c r="D148" s="1" t="n">
        <v>46132</v>
      </c>
      <c r="E148" s="1" t="n">
        <v>46222</v>
      </c>
      <c r="F148" t="inlineStr">
        <is>
          <t>STOCKHOLMS LÄN</t>
        </is>
      </c>
      <c r="G148" t="inlineStr">
        <is>
          <t>SÖDERTÄLJE</t>
        </is>
      </c>
      <c r="I148" t="n">
        <v>2.3</v>
      </c>
      <c r="J148" t="n">
        <v>0</v>
      </c>
      <c r="K148" t="n">
        <v>0</v>
      </c>
      <c r="L148" t="n">
        <v>0</v>
      </c>
      <c r="M148" t="n">
        <v>0</v>
      </c>
      <c r="N148" t="n">
        <v>0</v>
      </c>
      <c r="O148" t="n">
        <v>0</v>
      </c>
      <c r="P148" t="n">
        <v>0</v>
      </c>
      <c r="Q148" t="n">
        <v>0</v>
      </c>
      <c r="R148" t="n">
        <v>0</v>
      </c>
      <c r="S148" t="n">
        <v>0</v>
      </c>
      <c r="T148" t="n">
        <v>0</v>
      </c>
      <c r="U148" s="2" t="inlineStr"/>
    </row>
    <row r="149" ht="15" customHeight="1">
      <c r="A149" t="inlineStr">
        <is>
          <t>A 19071-2026</t>
        </is>
      </c>
      <c r="B149" t="inlineStr">
        <is>
          <t>avverkningsanmälan</t>
        </is>
      </c>
      <c r="C149" t="inlineStr">
        <is>
          <t>Föryngringsavverkning</t>
        </is>
      </c>
      <c r="D149" s="1" t="n">
        <v>46132</v>
      </c>
      <c r="E149" s="1" t="n">
        <v>46222</v>
      </c>
      <c r="F149" t="inlineStr">
        <is>
          <t>STOCKHOLMS LÄN</t>
        </is>
      </c>
      <c r="G149" t="inlineStr">
        <is>
          <t>SÖDERTÄLJE</t>
        </is>
      </c>
      <c r="I149" t="n">
        <v>4.8</v>
      </c>
      <c r="J149" t="n">
        <v>0</v>
      </c>
      <c r="K149" t="n">
        <v>0</v>
      </c>
      <c r="L149" t="n">
        <v>0</v>
      </c>
      <c r="M149" t="n">
        <v>0</v>
      </c>
      <c r="N149" t="n">
        <v>0</v>
      </c>
      <c r="O149" t="n">
        <v>0</v>
      </c>
      <c r="P149" t="n">
        <v>0</v>
      </c>
      <c r="Q149" t="n">
        <v>0</v>
      </c>
      <c r="R149" t="n">
        <v>0</v>
      </c>
      <c r="S149" t="n">
        <v>0</v>
      </c>
      <c r="T149" t="n">
        <v>0</v>
      </c>
      <c r="U149" s="2" t="inlineStr"/>
    </row>
    <row r="150" ht="15" customHeight="1">
      <c r="A150" t="inlineStr">
        <is>
          <t>A 3585-2022</t>
        </is>
      </c>
      <c r="B150" t="inlineStr">
        <is>
          <t>avverkningsanmälan</t>
        </is>
      </c>
      <c r="C150" t="inlineStr">
        <is>
          <t>Föryngringsavverkning</t>
        </is>
      </c>
      <c r="D150" s="1" t="n">
        <v>44586</v>
      </c>
      <c r="E150" s="1" t="n">
        <v>46222</v>
      </c>
      <c r="F150" t="inlineStr">
        <is>
          <t>STOCKHOLMS LÄN</t>
        </is>
      </c>
      <c r="G150" t="inlineStr">
        <is>
          <t>SÖDERTÄLJE</t>
        </is>
      </c>
      <c r="I150" t="n">
        <v>4.5</v>
      </c>
      <c r="J150" t="n">
        <v>0</v>
      </c>
      <c r="K150" t="n">
        <v>0</v>
      </c>
      <c r="L150" t="n">
        <v>0</v>
      </c>
      <c r="M150" t="n">
        <v>0</v>
      </c>
      <c r="N150" t="n">
        <v>0</v>
      </c>
      <c r="O150" t="n">
        <v>0</v>
      </c>
      <c r="P150" t="n">
        <v>0</v>
      </c>
      <c r="Q150" t="n">
        <v>0</v>
      </c>
      <c r="R150" t="n">
        <v>0</v>
      </c>
      <c r="S150" t="n">
        <v>0</v>
      </c>
      <c r="T150" t="n">
        <v>0</v>
      </c>
      <c r="U150" s="2" t="inlineStr"/>
    </row>
    <row r="151" ht="15" customHeight="1">
      <c r="A151" t="inlineStr">
        <is>
          <t>A 12907-2024</t>
        </is>
      </c>
      <c r="B151" t="inlineStr">
        <is>
          <t>avverkningsanmälan</t>
        </is>
      </c>
      <c r="C151" t="inlineStr">
        <is>
          <t>Föryngringsavverkning</t>
        </is>
      </c>
      <c r="D151" s="1" t="n">
        <v>45385</v>
      </c>
      <c r="E151" s="1" t="n">
        <v>46222</v>
      </c>
      <c r="F151" t="inlineStr">
        <is>
          <t>STOCKHOLMS LÄN</t>
        </is>
      </c>
      <c r="G151" t="inlineStr">
        <is>
          <t>SÖDERTÄLJE</t>
        </is>
      </c>
      <c r="I151" t="n">
        <v>11.9</v>
      </c>
      <c r="J151" t="n">
        <v>0</v>
      </c>
      <c r="K151" t="n">
        <v>0</v>
      </c>
      <c r="L151" t="n">
        <v>0</v>
      </c>
      <c r="M151" t="n">
        <v>0</v>
      </c>
      <c r="N151" t="n">
        <v>0</v>
      </c>
      <c r="O151" t="n">
        <v>0</v>
      </c>
      <c r="P151" t="n">
        <v>0</v>
      </c>
      <c r="Q151" t="n">
        <v>0</v>
      </c>
      <c r="R151" t="n">
        <v>0</v>
      </c>
      <c r="S151" t="n">
        <v>0</v>
      </c>
      <c r="T151" t="n">
        <v>0</v>
      </c>
      <c r="U151" s="2" t="inlineStr"/>
    </row>
    <row r="152" ht="15" customHeight="1">
      <c r="A152" t="inlineStr">
        <is>
          <t>A 20596-2026</t>
        </is>
      </c>
      <c r="B152" t="inlineStr">
        <is>
          <t>avverkningsanmälan</t>
        </is>
      </c>
      <c r="C152" t="inlineStr">
        <is>
          <t>Föryngringsavverkning</t>
        </is>
      </c>
      <c r="D152" s="1" t="n">
        <v>46140</v>
      </c>
      <c r="E152" s="1" t="n">
        <v>46222</v>
      </c>
      <c r="F152" t="inlineStr">
        <is>
          <t>STOCKHOLMS LÄN</t>
        </is>
      </c>
      <c r="G152" t="inlineStr">
        <is>
          <t>SÖDERTÄLJE</t>
        </is>
      </c>
      <c r="I152" t="n">
        <v>1.9</v>
      </c>
      <c r="J152" t="n">
        <v>0</v>
      </c>
      <c r="K152" t="n">
        <v>0</v>
      </c>
      <c r="L152" t="n">
        <v>0</v>
      </c>
      <c r="M152" t="n">
        <v>0</v>
      </c>
      <c r="N152" t="n">
        <v>0</v>
      </c>
      <c r="O152" t="n">
        <v>0</v>
      </c>
      <c r="P152" t="n">
        <v>0</v>
      </c>
      <c r="Q152" t="n">
        <v>0</v>
      </c>
      <c r="R152" t="n">
        <v>0</v>
      </c>
      <c r="S152" t="n">
        <v>0</v>
      </c>
      <c r="T152" t="n">
        <v>0</v>
      </c>
      <c r="U152" s="2" t="inlineStr"/>
    </row>
    <row r="153" ht="15" customHeight="1">
      <c r="A153" t="inlineStr">
        <is>
          <t>A 20582-2026</t>
        </is>
      </c>
      <c r="B153" t="inlineStr">
        <is>
          <t>avverkningsanmälan</t>
        </is>
      </c>
      <c r="C153" t="inlineStr">
        <is>
          <t>Föryngringsavverkning</t>
        </is>
      </c>
      <c r="D153" s="1" t="n">
        <v>46140</v>
      </c>
      <c r="E153" s="1" t="n">
        <v>46222</v>
      </c>
      <c r="F153" t="inlineStr">
        <is>
          <t>STOCKHOLMS LÄN</t>
        </is>
      </c>
      <c r="G153" t="inlineStr">
        <is>
          <t>SÖDERTÄLJE</t>
        </is>
      </c>
      <c r="I153" t="n">
        <v>0.8</v>
      </c>
      <c r="J153" t="n">
        <v>0</v>
      </c>
      <c r="K153" t="n">
        <v>0</v>
      </c>
      <c r="L153" t="n">
        <v>0</v>
      </c>
      <c r="M153" t="n">
        <v>0</v>
      </c>
      <c r="N153" t="n">
        <v>0</v>
      </c>
      <c r="O153" t="n">
        <v>0</v>
      </c>
      <c r="P153" t="n">
        <v>0</v>
      </c>
      <c r="Q153" t="n">
        <v>0</v>
      </c>
      <c r="R153" t="n">
        <v>0</v>
      </c>
      <c r="S153" t="n">
        <v>0</v>
      </c>
      <c r="T153" t="n">
        <v>0</v>
      </c>
      <c r="U153" s="2" t="inlineStr"/>
    </row>
    <row r="154" ht="15" customHeight="1">
      <c r="A154" t="inlineStr">
        <is>
          <t>A 25415-2025</t>
        </is>
      </c>
      <c r="B154" t="inlineStr">
        <is>
          <t>avverkningsanmälan</t>
        </is>
      </c>
      <c r="C154" t="inlineStr">
        <is>
          <t>Föryngringsavverkning</t>
        </is>
      </c>
      <c r="D154" s="1" t="n">
        <v>45799</v>
      </c>
      <c r="E154" s="1" t="n">
        <v>46222</v>
      </c>
      <c r="F154" t="inlineStr">
        <is>
          <t>STOCKHOLMS LÄN</t>
        </is>
      </c>
      <c r="G154" t="inlineStr">
        <is>
          <t>SÖDERTÄLJE</t>
        </is>
      </c>
      <c r="I154" t="n">
        <v>10.8</v>
      </c>
      <c r="J154" t="n">
        <v>0</v>
      </c>
      <c r="K154" t="n">
        <v>0</v>
      </c>
      <c r="L154" t="n">
        <v>0</v>
      </c>
      <c r="M154" t="n">
        <v>0</v>
      </c>
      <c r="N154" t="n">
        <v>0</v>
      </c>
      <c r="O154" t="n">
        <v>0</v>
      </c>
      <c r="P154" t="n">
        <v>0</v>
      </c>
      <c r="Q154" t="n">
        <v>0</v>
      </c>
      <c r="R154" t="n">
        <v>0</v>
      </c>
      <c r="S154" t="n">
        <v>0</v>
      </c>
      <c r="T154" t="n">
        <v>0</v>
      </c>
      <c r="U154" s="2" t="inlineStr"/>
    </row>
    <row r="155" ht="15" customHeight="1">
      <c r="A155" t="inlineStr">
        <is>
          <t>A 20603-2026</t>
        </is>
      </c>
      <c r="B155" t="inlineStr">
        <is>
          <t>avverkningsanmälan</t>
        </is>
      </c>
      <c r="C155" t="inlineStr">
        <is>
          <t>Föryngringsavverkning</t>
        </is>
      </c>
      <c r="D155" s="1" t="n">
        <v>46140</v>
      </c>
      <c r="E155" s="1" t="n">
        <v>46222</v>
      </c>
      <c r="F155" t="inlineStr">
        <is>
          <t>STOCKHOLMS LÄN</t>
        </is>
      </c>
      <c r="G155" t="inlineStr">
        <is>
          <t>SÖDERTÄLJE</t>
        </is>
      </c>
      <c r="I155" t="n">
        <v>2.6</v>
      </c>
      <c r="J155" t="n">
        <v>0</v>
      </c>
      <c r="K155" t="n">
        <v>0</v>
      </c>
      <c r="L155" t="n">
        <v>0</v>
      </c>
      <c r="M155" t="n">
        <v>0</v>
      </c>
      <c r="N155" t="n">
        <v>0</v>
      </c>
      <c r="O155" t="n">
        <v>0</v>
      </c>
      <c r="P155" t="n">
        <v>0</v>
      </c>
      <c r="Q155" t="n">
        <v>0</v>
      </c>
      <c r="R155" t="n">
        <v>0</v>
      </c>
      <c r="S155" t="n">
        <v>0</v>
      </c>
      <c r="T155" t="n">
        <v>0</v>
      </c>
      <c r="U155" s="2" t="inlineStr"/>
    </row>
    <row r="156" ht="15" customHeight="1">
      <c r="A156" t="inlineStr">
        <is>
          <t>A 20579-2026</t>
        </is>
      </c>
      <c r="B156" t="inlineStr">
        <is>
          <t>avverkningsanmälan</t>
        </is>
      </c>
      <c r="C156" t="inlineStr">
        <is>
          <t>Föryngringsavverkning</t>
        </is>
      </c>
      <c r="D156" s="1" t="n">
        <v>46140</v>
      </c>
      <c r="E156" s="1" t="n">
        <v>46222</v>
      </c>
      <c r="F156" t="inlineStr">
        <is>
          <t>STOCKHOLMS LÄN</t>
        </is>
      </c>
      <c r="G156" t="inlineStr">
        <is>
          <t>SÖDERTÄLJE</t>
        </is>
      </c>
      <c r="I156" t="n">
        <v>5.2</v>
      </c>
      <c r="J156" t="n">
        <v>0</v>
      </c>
      <c r="K156" t="n">
        <v>0</v>
      </c>
      <c r="L156" t="n">
        <v>0</v>
      </c>
      <c r="M156" t="n">
        <v>0</v>
      </c>
      <c r="N156" t="n">
        <v>0</v>
      </c>
      <c r="O156" t="n">
        <v>0</v>
      </c>
      <c r="P156" t="n">
        <v>0</v>
      </c>
      <c r="Q156" t="n">
        <v>0</v>
      </c>
      <c r="R156" t="n">
        <v>0</v>
      </c>
      <c r="S156" t="n">
        <v>0</v>
      </c>
      <c r="T156" t="n">
        <v>0</v>
      </c>
      <c r="U156" s="2" t="inlineStr"/>
    </row>
    <row r="157" ht="15" customHeight="1">
      <c r="A157" t="inlineStr">
        <is>
          <t>A 20591-2026</t>
        </is>
      </c>
      <c r="B157" t="inlineStr">
        <is>
          <t>avverkningsanmälan</t>
        </is>
      </c>
      <c r="C157" t="inlineStr">
        <is>
          <t>Föryngringsavverkning</t>
        </is>
      </c>
      <c r="D157" s="1" t="n">
        <v>46140</v>
      </c>
      <c r="E157" s="1" t="n">
        <v>46222</v>
      </c>
      <c r="F157" t="inlineStr">
        <is>
          <t>STOCKHOLMS LÄN</t>
        </is>
      </c>
      <c r="G157" t="inlineStr">
        <is>
          <t>SÖDERTÄLJE</t>
        </is>
      </c>
      <c r="I157" t="n">
        <v>1.4</v>
      </c>
      <c r="J157" t="n">
        <v>0</v>
      </c>
      <c r="K157" t="n">
        <v>0</v>
      </c>
      <c r="L157" t="n">
        <v>0</v>
      </c>
      <c r="M157" t="n">
        <v>0</v>
      </c>
      <c r="N157" t="n">
        <v>0</v>
      </c>
      <c r="O157" t="n">
        <v>0</v>
      </c>
      <c r="P157" t="n">
        <v>0</v>
      </c>
      <c r="Q157" t="n">
        <v>0</v>
      </c>
      <c r="R157" t="n">
        <v>0</v>
      </c>
      <c r="S157" t="n">
        <v>0</v>
      </c>
      <c r="T157" t="n">
        <v>0</v>
      </c>
      <c r="U157" s="2" t="inlineStr"/>
    </row>
    <row r="158" ht="15" customHeight="1">
      <c r="A158" t="inlineStr">
        <is>
          <t>A 25412-2025</t>
        </is>
      </c>
      <c r="B158" t="inlineStr">
        <is>
          <t>avverkningsanmälan</t>
        </is>
      </c>
      <c r="C158" t="inlineStr">
        <is>
          <t>Föryngringsavverkning</t>
        </is>
      </c>
      <c r="D158" s="1" t="n">
        <v>45799</v>
      </c>
      <c r="E158" s="1" t="n">
        <v>46222</v>
      </c>
      <c r="F158" t="inlineStr">
        <is>
          <t>STOCKHOLMS LÄN</t>
        </is>
      </c>
      <c r="G158" t="inlineStr">
        <is>
          <t>SÖDERTÄLJE</t>
        </is>
      </c>
      <c r="I158" t="n">
        <v>6.9</v>
      </c>
      <c r="J158" t="n">
        <v>0</v>
      </c>
      <c r="K158" t="n">
        <v>0</v>
      </c>
      <c r="L158" t="n">
        <v>0</v>
      </c>
      <c r="M158" t="n">
        <v>0</v>
      </c>
      <c r="N158" t="n">
        <v>0</v>
      </c>
      <c r="O158" t="n">
        <v>0</v>
      </c>
      <c r="P158" t="n">
        <v>0</v>
      </c>
      <c r="Q158" t="n">
        <v>0</v>
      </c>
      <c r="R158" t="n">
        <v>0</v>
      </c>
      <c r="S158" t="n">
        <v>0</v>
      </c>
      <c r="T158" t="n">
        <v>0</v>
      </c>
      <c r="U158" s="2" t="inlineStr"/>
    </row>
    <row r="159" ht="15" customHeight="1">
      <c r="A159" t="inlineStr">
        <is>
          <t>A 55940-2023</t>
        </is>
      </c>
      <c r="B159" t="inlineStr">
        <is>
          <t>avverkningsanmälan</t>
        </is>
      </c>
      <c r="C159" t="inlineStr">
        <is>
          <t>Föryngringsavverkning</t>
        </is>
      </c>
      <c r="D159" s="1" t="n">
        <v>45240</v>
      </c>
      <c r="E159" s="1" t="n">
        <v>46222</v>
      </c>
      <c r="F159" t="inlineStr">
        <is>
          <t>STOCKHOLMS LÄN</t>
        </is>
      </c>
      <c r="G159" t="inlineStr">
        <is>
          <t>SÖDERTÄLJE</t>
        </is>
      </c>
      <c r="I159" t="n">
        <v>2.7</v>
      </c>
      <c r="J159" t="n">
        <v>0</v>
      </c>
      <c r="K159" t="n">
        <v>0</v>
      </c>
      <c r="L159" t="n">
        <v>0</v>
      </c>
      <c r="M159" t="n">
        <v>0</v>
      </c>
      <c r="N159" t="n">
        <v>0</v>
      </c>
      <c r="O159" t="n">
        <v>0</v>
      </c>
      <c r="P159" t="n">
        <v>0</v>
      </c>
      <c r="Q159" t="n">
        <v>0</v>
      </c>
      <c r="R159" t="n">
        <v>0</v>
      </c>
      <c r="S159" t="n">
        <v>0</v>
      </c>
      <c r="T159" t="n">
        <v>0</v>
      </c>
      <c r="U159" s="2" t="inlineStr"/>
    </row>
    <row r="160" ht="15" customHeight="1">
      <c r="A160" t="inlineStr">
        <is>
          <t>A 58140-2023</t>
        </is>
      </c>
      <c r="B160" t="inlineStr">
        <is>
          <t>avverkningsanmälan</t>
        </is>
      </c>
      <c r="C160" t="inlineStr">
        <is>
          <t>Avverkning för annat ändamål</t>
        </is>
      </c>
      <c r="D160" s="1" t="n">
        <v>45250</v>
      </c>
      <c r="E160" s="1" t="n">
        <v>46222</v>
      </c>
      <c r="F160" t="inlineStr">
        <is>
          <t>STOCKHOLMS LÄN</t>
        </is>
      </c>
      <c r="G160" t="inlineStr">
        <is>
          <t>SÖDERTÄLJE</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26812-2022</t>
        </is>
      </c>
      <c r="B161" t="inlineStr">
        <is>
          <t>avverkningsanmälan</t>
        </is>
      </c>
      <c r="C161" t="inlineStr">
        <is>
          <t>Föryngringsavverkning</t>
        </is>
      </c>
      <c r="D161" s="1" t="n">
        <v>44740</v>
      </c>
      <c r="E161" s="1" t="n">
        <v>46222</v>
      </c>
      <c r="F161" t="inlineStr">
        <is>
          <t>STOCKHOLMS LÄN</t>
        </is>
      </c>
      <c r="G161" t="inlineStr">
        <is>
          <t>SÖDERTÄLJE</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62311-2023</t>
        </is>
      </c>
      <c r="B162" t="inlineStr">
        <is>
          <t>avverkningsanmälan</t>
        </is>
      </c>
      <c r="C162" t="inlineStr">
        <is>
          <t>Föryngringsavverkning</t>
        </is>
      </c>
      <c r="D162" s="1" t="n">
        <v>45266</v>
      </c>
      <c r="E162" s="1" t="n">
        <v>46222</v>
      </c>
      <c r="F162" t="inlineStr">
        <is>
          <t>STOCKHOLMS LÄN</t>
        </is>
      </c>
      <c r="G162" t="inlineStr">
        <is>
          <t>SÖDERTÄLJE</t>
        </is>
      </c>
      <c r="I162" t="n">
        <v>2.7</v>
      </c>
      <c r="J162" t="n">
        <v>0</v>
      </c>
      <c r="K162" t="n">
        <v>0</v>
      </c>
      <c r="L162" t="n">
        <v>0</v>
      </c>
      <c r="M162" t="n">
        <v>0</v>
      </c>
      <c r="N162" t="n">
        <v>0</v>
      </c>
      <c r="O162" t="n">
        <v>0</v>
      </c>
      <c r="P162" t="n">
        <v>0</v>
      </c>
      <c r="Q162" t="n">
        <v>0</v>
      </c>
      <c r="R162" t="n">
        <v>0</v>
      </c>
      <c r="S162" t="n">
        <v>0</v>
      </c>
      <c r="T162" t="n">
        <v>0</v>
      </c>
      <c r="U162" s="2" t="inlineStr"/>
    </row>
    <row r="163" ht="15" customHeight="1">
      <c r="A163" t="inlineStr">
        <is>
          <t>A 27006-2026</t>
        </is>
      </c>
      <c r="B163" t="inlineStr">
        <is>
          <t>avverkningsanmälan</t>
        </is>
      </c>
      <c r="C163" t="inlineStr">
        <is>
          <t>Avverkning för annat ändamål</t>
        </is>
      </c>
      <c r="D163" s="1" t="n">
        <v>46185</v>
      </c>
      <c r="E163" s="1" t="n">
        <v>46222</v>
      </c>
      <c r="F163" t="inlineStr">
        <is>
          <t>STOCKHOLMS LÄN</t>
        </is>
      </c>
      <c r="G163" t="inlineStr">
        <is>
          <t>SÖDERTÄLJE</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3383-2024</t>
        </is>
      </c>
      <c r="B164" t="inlineStr">
        <is>
          <t>avverkningsanmälan</t>
        </is>
      </c>
      <c r="C164" t="inlineStr">
        <is>
          <t>Avverkning för att bevara och utveckla /försöksver</t>
        </is>
      </c>
      <c r="D164" s="1" t="n">
        <v>45317</v>
      </c>
      <c r="E164" s="1" t="n">
        <v>46222</v>
      </c>
      <c r="F164" t="inlineStr">
        <is>
          <t>STOCKHOLMS LÄN</t>
        </is>
      </c>
      <c r="G164" t="inlineStr">
        <is>
          <t>SÖDERTÄLJE</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35942-2022</t>
        </is>
      </c>
      <c r="B165" t="inlineStr">
        <is>
          <t>avverkningsanmälan</t>
        </is>
      </c>
      <c r="C165" t="inlineStr">
        <is>
          <t>Avverkning för annat ändamål</t>
        </is>
      </c>
      <c r="D165" s="1" t="n">
        <v>44802</v>
      </c>
      <c r="E165" s="1" t="n">
        <v>46222</v>
      </c>
      <c r="F165" t="inlineStr">
        <is>
          <t>STOCKHOLMS LÄN</t>
        </is>
      </c>
      <c r="G165" t="inlineStr">
        <is>
          <t>SÖDERTÄLJE</t>
        </is>
      </c>
      <c r="I165" t="n">
        <v>0.1</v>
      </c>
      <c r="J165" t="n">
        <v>0</v>
      </c>
      <c r="K165" t="n">
        <v>0</v>
      </c>
      <c r="L165" t="n">
        <v>0</v>
      </c>
      <c r="M165" t="n">
        <v>0</v>
      </c>
      <c r="N165" t="n">
        <v>0</v>
      </c>
      <c r="O165" t="n">
        <v>0</v>
      </c>
      <c r="P165" t="n">
        <v>0</v>
      </c>
      <c r="Q165" t="n">
        <v>0</v>
      </c>
      <c r="R165" t="n">
        <v>0</v>
      </c>
      <c r="S165" t="n">
        <v>0</v>
      </c>
      <c r="T165" t="n">
        <v>0</v>
      </c>
      <c r="U165" s="2" t="inlineStr"/>
    </row>
    <row r="166" ht="15" customHeight="1">
      <c r="A166" t="inlineStr">
        <is>
          <t>A 27257-2026</t>
        </is>
      </c>
      <c r="B166" t="inlineStr">
        <is>
          <t>avverkningsanmälan</t>
        </is>
      </c>
      <c r="C166" t="inlineStr">
        <is>
          <t>Föryngringsavverkning</t>
        </is>
      </c>
      <c r="D166" s="1" t="n">
        <v>46188</v>
      </c>
      <c r="E166" s="1" t="n">
        <v>46222</v>
      </c>
      <c r="F166" t="inlineStr">
        <is>
          <t>STOCKHOLMS LÄN</t>
        </is>
      </c>
      <c r="G166" t="inlineStr">
        <is>
          <t>SÖDERTÄLJE</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92-2024</t>
        </is>
      </c>
      <c r="B167" t="inlineStr">
        <is>
          <t>avverkningsanmälan</t>
        </is>
      </c>
      <c r="C167" t="inlineStr">
        <is>
          <t>Föryngringsavverkning</t>
        </is>
      </c>
      <c r="D167" s="1" t="n">
        <v>45293</v>
      </c>
      <c r="E167" s="1" t="n">
        <v>46222</v>
      </c>
      <c r="F167" t="inlineStr">
        <is>
          <t>STOCKHOLMS LÄN</t>
        </is>
      </c>
      <c r="G167" t="inlineStr">
        <is>
          <t>SÖDERTÄLJE</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20530-2024</t>
        </is>
      </c>
      <c r="B168" t="inlineStr">
        <is>
          <t>avverkningsanmälan</t>
        </is>
      </c>
      <c r="C168" t="inlineStr">
        <is>
          <t>Avverkning för annat ändamål</t>
        </is>
      </c>
      <c r="D168" s="1" t="n">
        <v>45435</v>
      </c>
      <c r="E168" s="1" t="n">
        <v>46222</v>
      </c>
      <c r="F168" t="inlineStr">
        <is>
          <t>STOCKHOLMS LÄN</t>
        </is>
      </c>
      <c r="G168" t="inlineStr">
        <is>
          <t>SÖDERTÄLJE</t>
        </is>
      </c>
      <c r="H168" t="inlineStr">
        <is>
          <t>Övriga Aktiebolag</t>
        </is>
      </c>
      <c r="I168" t="n">
        <v>1</v>
      </c>
      <c r="J168" t="n">
        <v>0</v>
      </c>
      <c r="K168" t="n">
        <v>0</v>
      </c>
      <c r="L168" t="n">
        <v>0</v>
      </c>
      <c r="M168" t="n">
        <v>0</v>
      </c>
      <c r="N168" t="n">
        <v>0</v>
      </c>
      <c r="O168" t="n">
        <v>0</v>
      </c>
      <c r="P168" t="n">
        <v>0</v>
      </c>
      <c r="Q168" t="n">
        <v>0</v>
      </c>
      <c r="R168" t="n">
        <v>0</v>
      </c>
      <c r="S168" t="n">
        <v>0</v>
      </c>
      <c r="T168" t="n">
        <v>0</v>
      </c>
      <c r="U168" s="2" t="inlineStr"/>
    </row>
    <row r="169" ht="15" customHeight="1">
      <c r="A169" t="inlineStr">
        <is>
          <t>A 21483-2026</t>
        </is>
      </c>
      <c r="B169" t="inlineStr">
        <is>
          <t>avverkningsanmälan</t>
        </is>
      </c>
      <c r="C169" t="inlineStr">
        <is>
          <t>Avverkning för annat ändamål</t>
        </is>
      </c>
      <c r="D169" s="1" t="n">
        <v>46148</v>
      </c>
      <c r="E169" s="1" t="n">
        <v>46222</v>
      </c>
      <c r="F169" t="inlineStr">
        <is>
          <t>STOCKHOLMS LÄN</t>
        </is>
      </c>
      <c r="G169" t="inlineStr">
        <is>
          <t>SÖDERTÄLJE</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49136-2021</t>
        </is>
      </c>
      <c r="B170" t="inlineStr">
        <is>
          <t>avverkningsanmälan</t>
        </is>
      </c>
      <c r="C170" t="inlineStr">
        <is>
          <t>Föryngringsavverkning</t>
        </is>
      </c>
      <c r="D170" s="1" t="n">
        <v>44453</v>
      </c>
      <c r="E170" s="1" t="n">
        <v>46222</v>
      </c>
      <c r="F170" t="inlineStr">
        <is>
          <t>STOCKHOLMS LÄN</t>
        </is>
      </c>
      <c r="G170" t="inlineStr">
        <is>
          <t>SÖDERTÄLJE</t>
        </is>
      </c>
      <c r="I170" t="n">
        <v>2.6</v>
      </c>
      <c r="J170" t="n">
        <v>0</v>
      </c>
      <c r="K170" t="n">
        <v>0</v>
      </c>
      <c r="L170" t="n">
        <v>0</v>
      </c>
      <c r="M170" t="n">
        <v>0</v>
      </c>
      <c r="N170" t="n">
        <v>0</v>
      </c>
      <c r="O170" t="n">
        <v>0</v>
      </c>
      <c r="P170" t="n">
        <v>0</v>
      </c>
      <c r="Q170" t="n">
        <v>0</v>
      </c>
      <c r="R170" t="n">
        <v>0</v>
      </c>
      <c r="S170" t="n">
        <v>0</v>
      </c>
      <c r="T170" t="n">
        <v>0</v>
      </c>
      <c r="U170" s="2" t="inlineStr"/>
    </row>
    <row r="171" ht="15" customHeight="1">
      <c r="A171" t="inlineStr">
        <is>
          <t>A 35918-2022</t>
        </is>
      </c>
      <c r="B171" t="inlineStr">
        <is>
          <t>avverkningsanmälan</t>
        </is>
      </c>
      <c r="C171" t="inlineStr">
        <is>
          <t>Avverkning för annat ändamål</t>
        </is>
      </c>
      <c r="D171" s="1" t="n">
        <v>44802</v>
      </c>
      <c r="E171" s="1" t="n">
        <v>46222</v>
      </c>
      <c r="F171" t="inlineStr">
        <is>
          <t>STOCKHOLMS LÄN</t>
        </is>
      </c>
      <c r="G171" t="inlineStr">
        <is>
          <t>SÖDERTÄLJE</t>
        </is>
      </c>
      <c r="I171" t="n">
        <v>1.1</v>
      </c>
      <c r="J171" t="n">
        <v>0</v>
      </c>
      <c r="K171" t="n">
        <v>0</v>
      </c>
      <c r="L171" t="n">
        <v>0</v>
      </c>
      <c r="M171" t="n">
        <v>0</v>
      </c>
      <c r="N171" t="n">
        <v>0</v>
      </c>
      <c r="O171" t="n">
        <v>0</v>
      </c>
      <c r="P171" t="n">
        <v>0</v>
      </c>
      <c r="Q171" t="n">
        <v>0</v>
      </c>
      <c r="R171" t="n">
        <v>0</v>
      </c>
      <c r="S171" t="n">
        <v>0</v>
      </c>
      <c r="T171" t="n">
        <v>0</v>
      </c>
      <c r="U171" s="2" t="inlineStr"/>
    </row>
    <row r="172" ht="15" customHeight="1">
      <c r="A172" t="inlineStr">
        <is>
          <t>A 48820-2022</t>
        </is>
      </c>
      <c r="B172" t="inlineStr">
        <is>
          <t>avverkningsanmälan</t>
        </is>
      </c>
      <c r="C172" t="inlineStr">
        <is>
          <t>Föryngringsavverkning</t>
        </is>
      </c>
      <c r="D172" s="1" t="n">
        <v>44859</v>
      </c>
      <c r="E172" s="1" t="n">
        <v>46222</v>
      </c>
      <c r="F172" t="inlineStr">
        <is>
          <t>STOCKHOLMS LÄN</t>
        </is>
      </c>
      <c r="G172" t="inlineStr">
        <is>
          <t>SÖDERTÄLJE</t>
        </is>
      </c>
      <c r="H172" t="inlineStr">
        <is>
          <t>Sveaskog</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28175-2026</t>
        </is>
      </c>
      <c r="B173" t="inlineStr">
        <is>
          <t>avverkningsanmälan</t>
        </is>
      </c>
      <c r="C173" t="inlineStr">
        <is>
          <t>Avverkning för annat ändamål</t>
        </is>
      </c>
      <c r="D173" s="1" t="n">
        <v>46195</v>
      </c>
      <c r="E173" s="1" t="n">
        <v>46222</v>
      </c>
      <c r="F173" t="inlineStr">
        <is>
          <t>STOCKHOLMS LÄN</t>
        </is>
      </c>
      <c r="G173" t="inlineStr">
        <is>
          <t>SÖDERTÄLJE</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42337-2024</t>
        </is>
      </c>
      <c r="B174" t="inlineStr">
        <is>
          <t>avverkningsanmälan</t>
        </is>
      </c>
      <c r="C174" t="inlineStr">
        <is>
          <t>Föryngringsavverkning</t>
        </is>
      </c>
      <c r="D174" s="1" t="n">
        <v>45562</v>
      </c>
      <c r="E174" s="1" t="n">
        <v>46222</v>
      </c>
      <c r="F174" t="inlineStr">
        <is>
          <t>STOCKHOLMS LÄN</t>
        </is>
      </c>
      <c r="G174" t="inlineStr">
        <is>
          <t>SÖDERTÄLJE</t>
        </is>
      </c>
      <c r="H174" t="inlineStr">
        <is>
          <t>Övriga statliga verk och myndigheter</t>
        </is>
      </c>
      <c r="I174" t="n">
        <v>4</v>
      </c>
      <c r="J174" t="n">
        <v>0</v>
      </c>
      <c r="K174" t="n">
        <v>0</v>
      </c>
      <c r="L174" t="n">
        <v>0</v>
      </c>
      <c r="M174" t="n">
        <v>0</v>
      </c>
      <c r="N174" t="n">
        <v>0</v>
      </c>
      <c r="O174" t="n">
        <v>0</v>
      </c>
      <c r="P174" t="n">
        <v>0</v>
      </c>
      <c r="Q174" t="n">
        <v>0</v>
      </c>
      <c r="R174" t="n">
        <v>0</v>
      </c>
      <c r="S174" t="n">
        <v>0</v>
      </c>
      <c r="T174" t="n">
        <v>0</v>
      </c>
      <c r="U174" s="2" t="inlineStr"/>
    </row>
    <row r="175" ht="15" customHeight="1">
      <c r="A175" t="inlineStr">
        <is>
          <t>A 35906-2022</t>
        </is>
      </c>
      <c r="B175" t="inlineStr">
        <is>
          <t>avverkningsanmälan</t>
        </is>
      </c>
      <c r="C175" t="inlineStr">
        <is>
          <t>Avverkning för annat ändamål</t>
        </is>
      </c>
      <c r="D175" s="1" t="n">
        <v>44802</v>
      </c>
      <c r="E175" s="1" t="n">
        <v>46222</v>
      </c>
      <c r="F175" t="inlineStr">
        <is>
          <t>STOCKHOLMS LÄN</t>
        </is>
      </c>
      <c r="G175" t="inlineStr">
        <is>
          <t>SÖDERTÄLJE</t>
        </is>
      </c>
      <c r="I175" t="n">
        <v>3.9</v>
      </c>
      <c r="J175" t="n">
        <v>0</v>
      </c>
      <c r="K175" t="n">
        <v>0</v>
      </c>
      <c r="L175" t="n">
        <v>0</v>
      </c>
      <c r="M175" t="n">
        <v>0</v>
      </c>
      <c r="N175" t="n">
        <v>0</v>
      </c>
      <c r="O175" t="n">
        <v>0</v>
      </c>
      <c r="P175" t="n">
        <v>0</v>
      </c>
      <c r="Q175" t="n">
        <v>0</v>
      </c>
      <c r="R175" t="n">
        <v>0</v>
      </c>
      <c r="S175" t="n">
        <v>0</v>
      </c>
      <c r="T175" t="n">
        <v>0</v>
      </c>
      <c r="U175" s="2" t="inlineStr"/>
    </row>
    <row r="176" ht="15" customHeight="1">
      <c r="A176" t="inlineStr">
        <is>
          <t>A 11319-2024</t>
        </is>
      </c>
      <c r="B176" t="inlineStr">
        <is>
          <t>avverkningsanmälan</t>
        </is>
      </c>
      <c r="C176" t="inlineStr">
        <is>
          <t>Föryngringsavverkning</t>
        </is>
      </c>
      <c r="D176" s="1" t="n">
        <v>45371</v>
      </c>
      <c r="E176" s="1" t="n">
        <v>46222</v>
      </c>
      <c r="F176" t="inlineStr">
        <is>
          <t>STOCKHOLMS LÄN</t>
        </is>
      </c>
      <c r="G176" t="inlineStr">
        <is>
          <t>SÖDERTÄLJE</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10446-2026</t>
        </is>
      </c>
      <c r="B177" t="inlineStr">
        <is>
          <t>avverkningsanmälan</t>
        </is>
      </c>
      <c r="C177" t="inlineStr">
        <is>
          <t>Föryngringsavverkning</t>
        </is>
      </c>
      <c r="D177" s="1" t="n">
        <v>46077</v>
      </c>
      <c r="E177" s="1" t="n">
        <v>46222</v>
      </c>
      <c r="F177" t="inlineStr">
        <is>
          <t>STOCKHOLMS LÄN</t>
        </is>
      </c>
      <c r="G177" t="inlineStr">
        <is>
          <t>SÖDERTÄLJE</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54596-2024</t>
        </is>
      </c>
      <c r="B178" t="inlineStr">
        <is>
          <t>avverkningsanmälan</t>
        </is>
      </c>
      <c r="C178" t="inlineStr">
        <is>
          <t>Föryngringsavverkning</t>
        </is>
      </c>
      <c r="D178" s="1" t="n">
        <v>45617</v>
      </c>
      <c r="E178" s="1" t="n">
        <v>46222</v>
      </c>
      <c r="F178" t="inlineStr">
        <is>
          <t>STOCKHOLMS LÄN</t>
        </is>
      </c>
      <c r="G178" t="inlineStr">
        <is>
          <t>SÖDERTÄLJE</t>
        </is>
      </c>
      <c r="I178" t="n">
        <v>9.5</v>
      </c>
      <c r="J178" t="n">
        <v>0</v>
      </c>
      <c r="K178" t="n">
        <v>0</v>
      </c>
      <c r="L178" t="n">
        <v>0</v>
      </c>
      <c r="M178" t="n">
        <v>0</v>
      </c>
      <c r="N178" t="n">
        <v>0</v>
      </c>
      <c r="O178" t="n">
        <v>0</v>
      </c>
      <c r="P178" t="n">
        <v>0</v>
      </c>
      <c r="Q178" t="n">
        <v>0</v>
      </c>
      <c r="R178" t="n">
        <v>0</v>
      </c>
      <c r="S178" t="n">
        <v>0</v>
      </c>
      <c r="T178" t="n">
        <v>0</v>
      </c>
      <c r="U178" s="2" t="inlineStr"/>
    </row>
    <row r="179" ht="15" customHeight="1">
      <c r="A179" t="inlineStr">
        <is>
          <t>A 28982-2024</t>
        </is>
      </c>
      <c r="B179" t="inlineStr">
        <is>
          <t>avverkningsanmälan</t>
        </is>
      </c>
      <c r="C179" t="inlineStr">
        <is>
          <t>Avverkning för annat ändamål</t>
        </is>
      </c>
      <c r="D179" s="1" t="n">
        <v>45481</v>
      </c>
      <c r="E179" s="1" t="n">
        <v>46222</v>
      </c>
      <c r="F179" t="inlineStr">
        <is>
          <t>STOCKHOLMS LÄN</t>
        </is>
      </c>
      <c r="G179" t="inlineStr">
        <is>
          <t>SÖDERTÄLJE</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23632-2026</t>
        </is>
      </c>
      <c r="B180" t="inlineStr">
        <is>
          <t>avverkningsanmälan</t>
        </is>
      </c>
      <c r="C180" t="inlineStr">
        <is>
          <t>Föryngringsavverkning</t>
        </is>
      </c>
      <c r="D180" s="1" t="n">
        <v>46163</v>
      </c>
      <c r="E180" s="1" t="n">
        <v>46222</v>
      </c>
      <c r="F180" t="inlineStr">
        <is>
          <t>STOCKHOLMS LÄN</t>
        </is>
      </c>
      <c r="G180" t="inlineStr">
        <is>
          <t>SÖDERTÄLJE</t>
        </is>
      </c>
      <c r="H180" t="inlineStr">
        <is>
          <t>Kyrkan</t>
        </is>
      </c>
      <c r="I180" t="n">
        <v>1.8</v>
      </c>
      <c r="J180" t="n">
        <v>0</v>
      </c>
      <c r="K180" t="n">
        <v>0</v>
      </c>
      <c r="L180" t="n">
        <v>0</v>
      </c>
      <c r="M180" t="n">
        <v>0</v>
      </c>
      <c r="N180" t="n">
        <v>0</v>
      </c>
      <c r="O180" t="n">
        <v>0</v>
      </c>
      <c r="P180" t="n">
        <v>0</v>
      </c>
      <c r="Q180" t="n">
        <v>0</v>
      </c>
      <c r="R180" t="n">
        <v>0</v>
      </c>
      <c r="S180" t="n">
        <v>0</v>
      </c>
      <c r="T180" t="n">
        <v>0</v>
      </c>
      <c r="U180" s="2" t="inlineStr"/>
    </row>
    <row r="181" ht="15" customHeight="1">
      <c r="A181" t="inlineStr">
        <is>
          <t>A 46671-2021</t>
        </is>
      </c>
      <c r="B181" t="inlineStr">
        <is>
          <t>avverkningsanmälan</t>
        </is>
      </c>
      <c r="C181" t="inlineStr">
        <is>
          <t>Föryngringsavverkning</t>
        </is>
      </c>
      <c r="D181" s="1" t="n">
        <v>44445</v>
      </c>
      <c r="E181" s="1" t="n">
        <v>46222</v>
      </c>
      <c r="F181" t="inlineStr">
        <is>
          <t>STOCKHOLMS LÄN</t>
        </is>
      </c>
      <c r="G181" t="inlineStr">
        <is>
          <t>SÖDERTÄLJE</t>
        </is>
      </c>
      <c r="I181" t="n">
        <v>8.1</v>
      </c>
      <c r="J181" t="n">
        <v>0</v>
      </c>
      <c r="K181" t="n">
        <v>0</v>
      </c>
      <c r="L181" t="n">
        <v>0</v>
      </c>
      <c r="M181" t="n">
        <v>0</v>
      </c>
      <c r="N181" t="n">
        <v>0</v>
      </c>
      <c r="O181" t="n">
        <v>0</v>
      </c>
      <c r="P181" t="n">
        <v>0</v>
      </c>
      <c r="Q181" t="n">
        <v>0</v>
      </c>
      <c r="R181" t="n">
        <v>0</v>
      </c>
      <c r="S181" t="n">
        <v>0</v>
      </c>
      <c r="T181" t="n">
        <v>0</v>
      </c>
      <c r="U181" s="2" t="inlineStr"/>
    </row>
    <row r="182" ht="15" customHeight="1">
      <c r="A182" t="inlineStr">
        <is>
          <t>A 52101-2022</t>
        </is>
      </c>
      <c r="B182" t="inlineStr">
        <is>
          <t>avverkningsanmälan</t>
        </is>
      </c>
      <c r="C182" t="inlineStr">
        <is>
          <t>Avverkning för annat ändamål</t>
        </is>
      </c>
      <c r="D182" s="1" t="n">
        <v>44873</v>
      </c>
      <c r="E182" s="1" t="n">
        <v>46222</v>
      </c>
      <c r="F182" t="inlineStr">
        <is>
          <t>STOCKHOLMS LÄN</t>
        </is>
      </c>
      <c r="G182" t="inlineStr">
        <is>
          <t>SÖDERTÄLJE</t>
        </is>
      </c>
      <c r="H182" t="inlineStr">
        <is>
          <t>Kommuner</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35200-2023</t>
        </is>
      </c>
      <c r="B183" t="inlineStr">
        <is>
          <t>avverkningsanmälan</t>
        </is>
      </c>
      <c r="C183" t="inlineStr">
        <is>
          <t>Föryngringsavverkning</t>
        </is>
      </c>
      <c r="D183" s="1" t="n">
        <v>45145</v>
      </c>
      <c r="E183" s="1" t="n">
        <v>46222</v>
      </c>
      <c r="F183" t="inlineStr">
        <is>
          <t>STOCKHOLMS LÄN</t>
        </is>
      </c>
      <c r="G183" t="inlineStr">
        <is>
          <t>SÖDERTÄLJE</t>
        </is>
      </c>
      <c r="I183" t="n">
        <v>4.1</v>
      </c>
      <c r="J183" t="n">
        <v>0</v>
      </c>
      <c r="K183" t="n">
        <v>0</v>
      </c>
      <c r="L183" t="n">
        <v>0</v>
      </c>
      <c r="M183" t="n">
        <v>0</v>
      </c>
      <c r="N183" t="n">
        <v>0</v>
      </c>
      <c r="O183" t="n">
        <v>0</v>
      </c>
      <c r="P183" t="n">
        <v>0</v>
      </c>
      <c r="Q183" t="n">
        <v>0</v>
      </c>
      <c r="R183" t="n">
        <v>0</v>
      </c>
      <c r="S183" t="n">
        <v>0</v>
      </c>
      <c r="T183" t="n">
        <v>0</v>
      </c>
      <c r="U183" s="2" t="inlineStr"/>
    </row>
    <row r="184" ht="15" customHeight="1">
      <c r="A184" t="inlineStr">
        <is>
          <t>A 25706-2023</t>
        </is>
      </c>
      <c r="B184" t="inlineStr">
        <is>
          <t>avverkningsanmälan</t>
        </is>
      </c>
      <c r="C184" t="inlineStr">
        <is>
          <t>Föryngringsavverkning</t>
        </is>
      </c>
      <c r="D184" s="1" t="n">
        <v>45090</v>
      </c>
      <c r="E184" s="1" t="n">
        <v>46222</v>
      </c>
      <c r="F184" t="inlineStr">
        <is>
          <t>STOCKHOLMS LÄN</t>
        </is>
      </c>
      <c r="G184" t="inlineStr">
        <is>
          <t>SÖDERTÄLJE</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34194-2024</t>
        </is>
      </c>
      <c r="B185" t="inlineStr">
        <is>
          <t>avverkningsanmälan</t>
        </is>
      </c>
      <c r="C185" t="inlineStr">
        <is>
          <t>Föryngringsavverkning</t>
        </is>
      </c>
      <c r="D185" s="1" t="n">
        <v>45524</v>
      </c>
      <c r="E185" s="1" t="n">
        <v>46222</v>
      </c>
      <c r="F185" t="inlineStr">
        <is>
          <t>STOCKHOLMS LÄN</t>
        </is>
      </c>
      <c r="G185" t="inlineStr">
        <is>
          <t>SÖDERTÄLJE</t>
        </is>
      </c>
      <c r="I185" t="n">
        <v>3.1</v>
      </c>
      <c r="J185" t="n">
        <v>0</v>
      </c>
      <c r="K185" t="n">
        <v>0</v>
      </c>
      <c r="L185" t="n">
        <v>0</v>
      </c>
      <c r="M185" t="n">
        <v>0</v>
      </c>
      <c r="N185" t="n">
        <v>0</v>
      </c>
      <c r="O185" t="n">
        <v>0</v>
      </c>
      <c r="P185" t="n">
        <v>0</v>
      </c>
      <c r="Q185" t="n">
        <v>0</v>
      </c>
      <c r="R185" t="n">
        <v>0</v>
      </c>
      <c r="S185" t="n">
        <v>0</v>
      </c>
      <c r="T185" t="n">
        <v>0</v>
      </c>
      <c r="U185" s="2" t="inlineStr"/>
    </row>
    <row r="186" ht="15" customHeight="1">
      <c r="A186" t="inlineStr">
        <is>
          <t>A 47576-2023</t>
        </is>
      </c>
      <c r="B186" t="inlineStr">
        <is>
          <t>avverkningsanmälan</t>
        </is>
      </c>
      <c r="C186" t="inlineStr">
        <is>
          <t>Föryngringsavverkning</t>
        </is>
      </c>
      <c r="D186" s="1" t="n">
        <v>45197</v>
      </c>
      <c r="E186" s="1" t="n">
        <v>46222</v>
      </c>
      <c r="F186" t="inlineStr">
        <is>
          <t>STOCKHOLMS LÄN</t>
        </is>
      </c>
      <c r="G186" t="inlineStr">
        <is>
          <t>SÖDERTÄLJE</t>
        </is>
      </c>
      <c r="I186" t="n">
        <v>3</v>
      </c>
      <c r="J186" t="n">
        <v>0</v>
      </c>
      <c r="K186" t="n">
        <v>0</v>
      </c>
      <c r="L186" t="n">
        <v>0</v>
      </c>
      <c r="M186" t="n">
        <v>0</v>
      </c>
      <c r="N186" t="n">
        <v>0</v>
      </c>
      <c r="O186" t="n">
        <v>0</v>
      </c>
      <c r="P186" t="n">
        <v>0</v>
      </c>
      <c r="Q186" t="n">
        <v>0</v>
      </c>
      <c r="R186" t="n">
        <v>0</v>
      </c>
      <c r="S186" t="n">
        <v>0</v>
      </c>
      <c r="T186" t="n">
        <v>0</v>
      </c>
      <c r="U186" s="2" t="inlineStr"/>
    </row>
    <row r="187" ht="15" customHeight="1">
      <c r="A187" t="inlineStr">
        <is>
          <t>A 1150-2026</t>
        </is>
      </c>
      <c r="B187" t="inlineStr">
        <is>
          <t>avverkningsanmälan</t>
        </is>
      </c>
      <c r="C187" t="inlineStr">
        <is>
          <t>Föryngringsavverkning</t>
        </is>
      </c>
      <c r="D187" s="1" t="n">
        <v>46030</v>
      </c>
      <c r="E187" s="1" t="n">
        <v>46222</v>
      </c>
      <c r="F187" t="inlineStr">
        <is>
          <t>STOCKHOLMS LÄN</t>
        </is>
      </c>
      <c r="G187" t="inlineStr">
        <is>
          <t>SÖDERTÄLJE</t>
        </is>
      </c>
      <c r="I187" t="n">
        <v>2.7</v>
      </c>
      <c r="J187" t="n">
        <v>0</v>
      </c>
      <c r="K187" t="n">
        <v>0</v>
      </c>
      <c r="L187" t="n">
        <v>0</v>
      </c>
      <c r="M187" t="n">
        <v>0</v>
      </c>
      <c r="N187" t="n">
        <v>0</v>
      </c>
      <c r="O187" t="n">
        <v>0</v>
      </c>
      <c r="P187" t="n">
        <v>0</v>
      </c>
      <c r="Q187" t="n">
        <v>0</v>
      </c>
      <c r="R187" t="n">
        <v>0</v>
      </c>
      <c r="S187" t="n">
        <v>0</v>
      </c>
      <c r="T187" t="n">
        <v>0</v>
      </c>
      <c r="U187" s="2" t="inlineStr"/>
    </row>
    <row r="188" ht="15" customHeight="1">
      <c r="A188" t="inlineStr">
        <is>
          <t>A 51931-2023</t>
        </is>
      </c>
      <c r="B188" t="inlineStr">
        <is>
          <t>avverkningsanmälan</t>
        </is>
      </c>
      <c r="C188" t="inlineStr">
        <is>
          <t>Föryngringsavverkning</t>
        </is>
      </c>
      <c r="D188" s="1" t="n">
        <v>45216</v>
      </c>
      <c r="E188" s="1" t="n">
        <v>46222</v>
      </c>
      <c r="F188" t="inlineStr">
        <is>
          <t>STOCKHOLMS LÄN</t>
        </is>
      </c>
      <c r="G188" t="inlineStr">
        <is>
          <t>SÖDERTÄLJE</t>
        </is>
      </c>
      <c r="I188" t="n">
        <v>2</v>
      </c>
      <c r="J188" t="n">
        <v>0</v>
      </c>
      <c r="K188" t="n">
        <v>0</v>
      </c>
      <c r="L188" t="n">
        <v>0</v>
      </c>
      <c r="M188" t="n">
        <v>0</v>
      </c>
      <c r="N188" t="n">
        <v>0</v>
      </c>
      <c r="O188" t="n">
        <v>0</v>
      </c>
      <c r="P188" t="n">
        <v>0</v>
      </c>
      <c r="Q188" t="n">
        <v>0</v>
      </c>
      <c r="R188" t="n">
        <v>0</v>
      </c>
      <c r="S188" t="n">
        <v>0</v>
      </c>
      <c r="T188" t="n">
        <v>0</v>
      </c>
      <c r="U188" s="2" t="inlineStr"/>
    </row>
    <row r="189" ht="15" customHeight="1">
      <c r="A189" t="inlineStr">
        <is>
          <t>A 954-2023</t>
        </is>
      </c>
      <c r="B189" t="inlineStr">
        <is>
          <t>avverkningsanmälan</t>
        </is>
      </c>
      <c r="C189" t="inlineStr">
        <is>
          <t>Föryngringsavverkning</t>
        </is>
      </c>
      <c r="D189" s="1" t="n">
        <v>44934</v>
      </c>
      <c r="E189" s="1" t="n">
        <v>46222</v>
      </c>
      <c r="F189" t="inlineStr">
        <is>
          <t>STOCKHOLMS LÄN</t>
        </is>
      </c>
      <c r="G189" t="inlineStr">
        <is>
          <t>SÖDERTÄLJE</t>
        </is>
      </c>
      <c r="I189" t="n">
        <v>4.5</v>
      </c>
      <c r="J189" t="n">
        <v>0</v>
      </c>
      <c r="K189" t="n">
        <v>0</v>
      </c>
      <c r="L189" t="n">
        <v>0</v>
      </c>
      <c r="M189" t="n">
        <v>0</v>
      </c>
      <c r="N189" t="n">
        <v>0</v>
      </c>
      <c r="O189" t="n">
        <v>0</v>
      </c>
      <c r="P189" t="n">
        <v>0</v>
      </c>
      <c r="Q189" t="n">
        <v>0</v>
      </c>
      <c r="R189" t="n">
        <v>0</v>
      </c>
      <c r="S189" t="n">
        <v>0</v>
      </c>
      <c r="T189" t="n">
        <v>0</v>
      </c>
      <c r="U189" s="2" t="inlineStr"/>
    </row>
    <row r="190" ht="15" customHeight="1">
      <c r="A190" t="inlineStr">
        <is>
          <t>A 4440-2023</t>
        </is>
      </c>
      <c r="B190" t="inlineStr">
        <is>
          <t>avverkningsanmälan</t>
        </is>
      </c>
      <c r="C190" t="inlineStr">
        <is>
          <t>Föryngringsavverkning</t>
        </is>
      </c>
      <c r="D190" s="1" t="n">
        <v>44956</v>
      </c>
      <c r="E190" s="1" t="n">
        <v>46222</v>
      </c>
      <c r="F190" t="inlineStr">
        <is>
          <t>STOCKHOLMS LÄN</t>
        </is>
      </c>
      <c r="G190" t="inlineStr">
        <is>
          <t>SÖDERTÄLJE</t>
        </is>
      </c>
      <c r="I190" t="n">
        <v>18.4</v>
      </c>
      <c r="J190" t="n">
        <v>0</v>
      </c>
      <c r="K190" t="n">
        <v>0</v>
      </c>
      <c r="L190" t="n">
        <v>0</v>
      </c>
      <c r="M190" t="n">
        <v>0</v>
      </c>
      <c r="N190" t="n">
        <v>0</v>
      </c>
      <c r="O190" t="n">
        <v>0</v>
      </c>
      <c r="P190" t="n">
        <v>0</v>
      </c>
      <c r="Q190" t="n">
        <v>0</v>
      </c>
      <c r="R190" t="n">
        <v>0</v>
      </c>
      <c r="S190" t="n">
        <v>0</v>
      </c>
      <c r="T190" t="n">
        <v>0</v>
      </c>
      <c r="U190" s="2" t="inlineStr"/>
    </row>
    <row r="191" ht="15" customHeight="1">
      <c r="A191" t="inlineStr">
        <is>
          <t>A 22-2024</t>
        </is>
      </c>
      <c r="B191" t="inlineStr">
        <is>
          <t>avverkningsanmälan</t>
        </is>
      </c>
      <c r="C191" t="inlineStr">
        <is>
          <t>Föryngringsavverkning</t>
        </is>
      </c>
      <c r="D191" s="1" t="n">
        <v>45293</v>
      </c>
      <c r="E191" s="1" t="n">
        <v>46222</v>
      </c>
      <c r="F191" t="inlineStr">
        <is>
          <t>STOCKHOLMS LÄN</t>
        </is>
      </c>
      <c r="G191" t="inlineStr">
        <is>
          <t>SÖDERTÄLJE</t>
        </is>
      </c>
      <c r="I191" t="n">
        <v>4.4</v>
      </c>
      <c r="J191" t="n">
        <v>0</v>
      </c>
      <c r="K191" t="n">
        <v>0</v>
      </c>
      <c r="L191" t="n">
        <v>0</v>
      </c>
      <c r="M191" t="n">
        <v>0</v>
      </c>
      <c r="N191" t="n">
        <v>0</v>
      </c>
      <c r="O191" t="n">
        <v>0</v>
      </c>
      <c r="P191" t="n">
        <v>0</v>
      </c>
      <c r="Q191" t="n">
        <v>0</v>
      </c>
      <c r="R191" t="n">
        <v>0</v>
      </c>
      <c r="S191" t="n">
        <v>0</v>
      </c>
      <c r="T191" t="n">
        <v>0</v>
      </c>
      <c r="U191" s="2" t="inlineStr"/>
    </row>
    <row r="192" ht="15" customHeight="1">
      <c r="A192" t="inlineStr">
        <is>
          <t>A 25288-2026</t>
        </is>
      </c>
      <c r="B192" t="inlineStr">
        <is>
          <t>avverkningsanmälan</t>
        </is>
      </c>
      <c r="C192" t="inlineStr">
        <is>
          <t>Föryngringsavverkning</t>
        </is>
      </c>
      <c r="D192" s="1" t="n">
        <v>46176</v>
      </c>
      <c r="E192" s="1" t="n">
        <v>46222</v>
      </c>
      <c r="F192" t="inlineStr">
        <is>
          <t>STOCKHOLMS LÄN</t>
        </is>
      </c>
      <c r="G192" t="inlineStr">
        <is>
          <t>SÖDERTÄLJE</t>
        </is>
      </c>
      <c r="H192" t="inlineStr">
        <is>
          <t>Kommuner</t>
        </is>
      </c>
      <c r="I192" t="n">
        <v>4.4</v>
      </c>
      <c r="J192" t="n">
        <v>0</v>
      </c>
      <c r="K192" t="n">
        <v>0</v>
      </c>
      <c r="L192" t="n">
        <v>0</v>
      </c>
      <c r="M192" t="n">
        <v>0</v>
      </c>
      <c r="N192" t="n">
        <v>0</v>
      </c>
      <c r="O192" t="n">
        <v>0</v>
      </c>
      <c r="P192" t="n">
        <v>0</v>
      </c>
      <c r="Q192" t="n">
        <v>0</v>
      </c>
      <c r="R192" t="n">
        <v>0</v>
      </c>
      <c r="S192" t="n">
        <v>0</v>
      </c>
      <c r="T192" t="n">
        <v>0</v>
      </c>
      <c r="U192" s="2" t="inlineStr"/>
    </row>
    <row r="193" ht="15" customHeight="1">
      <c r="A193" t="inlineStr">
        <is>
          <t>A 9891-2025</t>
        </is>
      </c>
      <c r="B193" t="inlineStr">
        <is>
          <t>avverkningsanmälan</t>
        </is>
      </c>
      <c r="C193" t="inlineStr">
        <is>
          <t>Föryngringsavverkning</t>
        </is>
      </c>
      <c r="D193" s="1" t="n">
        <v>45716</v>
      </c>
      <c r="E193" s="1" t="n">
        <v>46222</v>
      </c>
      <c r="F193" t="inlineStr">
        <is>
          <t>STOCKHOLMS LÄN</t>
        </is>
      </c>
      <c r="G193" t="inlineStr">
        <is>
          <t>SÖDERTÄLJE</t>
        </is>
      </c>
      <c r="I193" t="n">
        <v>2.2</v>
      </c>
      <c r="J193" t="n">
        <v>0</v>
      </c>
      <c r="K193" t="n">
        <v>0</v>
      </c>
      <c r="L193" t="n">
        <v>0</v>
      </c>
      <c r="M193" t="n">
        <v>0</v>
      </c>
      <c r="N193" t="n">
        <v>0</v>
      </c>
      <c r="O193" t="n">
        <v>0</v>
      </c>
      <c r="P193" t="n">
        <v>0</v>
      </c>
      <c r="Q193" t="n">
        <v>0</v>
      </c>
      <c r="R193" t="n">
        <v>0</v>
      </c>
      <c r="S193" t="n">
        <v>0</v>
      </c>
      <c r="T193" t="n">
        <v>0</v>
      </c>
      <c r="U193" s="2" t="inlineStr"/>
    </row>
    <row r="194" ht="15" customHeight="1">
      <c r="A194" t="inlineStr">
        <is>
          <t>A 21726-2025</t>
        </is>
      </c>
      <c r="B194" t="inlineStr">
        <is>
          <t>avverkningsanmälan</t>
        </is>
      </c>
      <c r="C194" t="inlineStr">
        <is>
          <t>Föryngringsavverkning</t>
        </is>
      </c>
      <c r="D194" s="1" t="n">
        <v>45783</v>
      </c>
      <c r="E194" s="1" t="n">
        <v>46222</v>
      </c>
      <c r="F194" t="inlineStr">
        <is>
          <t>STOCKHOLMS LÄN</t>
        </is>
      </c>
      <c r="G194" t="inlineStr">
        <is>
          <t>SÖDERTÄLJE</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17979-2024</t>
        </is>
      </c>
      <c r="B195" t="inlineStr">
        <is>
          <t>avverkningsanmälan</t>
        </is>
      </c>
      <c r="C195" t="inlineStr">
        <is>
          <t>Föryngringsavverkning</t>
        </is>
      </c>
      <c r="D195" s="1" t="n">
        <v>45419</v>
      </c>
      <c r="E195" s="1" t="n">
        <v>46222</v>
      </c>
      <c r="F195" t="inlineStr">
        <is>
          <t>STOCKHOLMS LÄN</t>
        </is>
      </c>
      <c r="G195" t="inlineStr">
        <is>
          <t>SÖDERTÄLJE</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47977-2022</t>
        </is>
      </c>
      <c r="B196" t="inlineStr">
        <is>
          <t>avverkningsanmälan</t>
        </is>
      </c>
      <c r="C196" t="inlineStr">
        <is>
          <t>Föryngringsavverkning</t>
        </is>
      </c>
      <c r="D196" s="1" t="n">
        <v>44855</v>
      </c>
      <c r="E196" s="1" t="n">
        <v>46222</v>
      </c>
      <c r="F196" t="inlineStr">
        <is>
          <t>STOCKHOLMS LÄN</t>
        </is>
      </c>
      <c r="G196" t="inlineStr">
        <is>
          <t>SÖDERTÄLJE</t>
        </is>
      </c>
      <c r="I196" t="n">
        <v>3.5</v>
      </c>
      <c r="J196" t="n">
        <v>0</v>
      </c>
      <c r="K196" t="n">
        <v>0</v>
      </c>
      <c r="L196" t="n">
        <v>0</v>
      </c>
      <c r="M196" t="n">
        <v>0</v>
      </c>
      <c r="N196" t="n">
        <v>0</v>
      </c>
      <c r="O196" t="n">
        <v>0</v>
      </c>
      <c r="P196" t="n">
        <v>0</v>
      </c>
      <c r="Q196" t="n">
        <v>0</v>
      </c>
      <c r="R196" t="n">
        <v>0</v>
      </c>
      <c r="S196" t="n">
        <v>0</v>
      </c>
      <c r="T196" t="n">
        <v>0</v>
      </c>
      <c r="U196" s="2" t="inlineStr"/>
    </row>
    <row r="197" ht="15" customHeight="1">
      <c r="A197" t="inlineStr">
        <is>
          <t>A 19210-2024</t>
        </is>
      </c>
      <c r="B197" t="inlineStr">
        <is>
          <t>avverkningsanmälan</t>
        </is>
      </c>
      <c r="C197" t="inlineStr">
        <is>
          <t>Avverkning för att bevara och utveckla /försöksver</t>
        </is>
      </c>
      <c r="D197" s="1" t="n">
        <v>45428</v>
      </c>
      <c r="E197" s="1" t="n">
        <v>46222</v>
      </c>
      <c r="F197" t="inlineStr">
        <is>
          <t>STOCKHOLMS LÄN</t>
        </is>
      </c>
      <c r="G197" t="inlineStr">
        <is>
          <t>SÖDERTÄLJE</t>
        </is>
      </c>
      <c r="I197" t="n">
        <v>3.1</v>
      </c>
      <c r="J197" t="n">
        <v>0</v>
      </c>
      <c r="K197" t="n">
        <v>0</v>
      </c>
      <c r="L197" t="n">
        <v>0</v>
      </c>
      <c r="M197" t="n">
        <v>0</v>
      </c>
      <c r="N197" t="n">
        <v>0</v>
      </c>
      <c r="O197" t="n">
        <v>0</v>
      </c>
      <c r="P197" t="n">
        <v>0</v>
      </c>
      <c r="Q197" t="n">
        <v>0</v>
      </c>
      <c r="R197" t="n">
        <v>0</v>
      </c>
      <c r="S197" t="n">
        <v>0</v>
      </c>
      <c r="T197" t="n">
        <v>0</v>
      </c>
      <c r="U197" s="2" t="inlineStr"/>
    </row>
    <row r="198" ht="15" customHeight="1">
      <c r="A198" t="inlineStr">
        <is>
          <t>A 51353-2024</t>
        </is>
      </c>
      <c r="B198" t="inlineStr">
        <is>
          <t>avverkningsanmälan</t>
        </is>
      </c>
      <c r="C198" t="inlineStr">
        <is>
          <t>Föryngringsavverkning</t>
        </is>
      </c>
      <c r="D198" s="1" t="n">
        <v>45604</v>
      </c>
      <c r="E198" s="1" t="n">
        <v>46222</v>
      </c>
      <c r="F198" t="inlineStr">
        <is>
          <t>STOCKHOLMS LÄN</t>
        </is>
      </c>
      <c r="G198" t="inlineStr">
        <is>
          <t>SÖDERTÄLJE</t>
        </is>
      </c>
      <c r="I198" t="n">
        <v>2.7</v>
      </c>
      <c r="J198" t="n">
        <v>0</v>
      </c>
      <c r="K198" t="n">
        <v>0</v>
      </c>
      <c r="L198" t="n">
        <v>0</v>
      </c>
      <c r="M198" t="n">
        <v>0</v>
      </c>
      <c r="N198" t="n">
        <v>0</v>
      </c>
      <c r="O198" t="n">
        <v>0</v>
      </c>
      <c r="P198" t="n">
        <v>0</v>
      </c>
      <c r="Q198" t="n">
        <v>0</v>
      </c>
      <c r="R198" t="n">
        <v>0</v>
      </c>
      <c r="S198" t="n">
        <v>0</v>
      </c>
      <c r="T198" t="n">
        <v>0</v>
      </c>
      <c r="U198" s="2" t="inlineStr"/>
    </row>
    <row r="199" ht="15" customHeight="1">
      <c r="A199" t="inlineStr">
        <is>
          <t>S 1920-2022</t>
        </is>
      </c>
      <c r="B199" t="inlineStr">
        <is>
          <t>samrådsanmälan</t>
        </is>
      </c>
      <c r="C199" t="inlineStr">
        <is>
          <t>Åtgärd i nyckelbiotop</t>
        </is>
      </c>
      <c r="D199" s="1" t="n">
        <v>44663</v>
      </c>
      <c r="E199" s="1" t="n">
        <v>46222</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s="2" t="inlineStr"/>
    </row>
    <row r="200" ht="15" customHeight="1">
      <c r="A200" t="inlineStr">
        <is>
          <t>S 6029-2022</t>
        </is>
      </c>
      <c r="B200" t="inlineStr">
        <is>
          <t>samrådsanmälan</t>
        </is>
      </c>
      <c r="C200" t="inlineStr">
        <is>
          <t>Annan skogsbruksåtgärd</t>
        </is>
      </c>
      <c r="D200" s="1" t="n">
        <v>44859</v>
      </c>
      <c r="E200" s="1" t="n">
        <v>46222</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S 1081-2024</t>
        </is>
      </c>
      <c r="B201" t="inlineStr">
        <is>
          <t>samrådsanmälan</t>
        </is>
      </c>
      <c r="C201" t="inlineStr">
        <is>
          <t>Annan skogsbruksåtgärd</t>
        </is>
      </c>
      <c r="D201" s="1" t="n">
        <v>45390</v>
      </c>
      <c r="E201" s="1" t="n">
        <v>46222</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s="2" t="inlineStr"/>
    </row>
    <row r="202" ht="15" customHeight="1">
      <c r="A202" t="inlineStr">
        <is>
          <t>S 3931-2024</t>
        </is>
      </c>
      <c r="B202" t="inlineStr">
        <is>
          <t>samrådsanmälan</t>
        </is>
      </c>
      <c r="C202" t="inlineStr">
        <is>
          <t>Annan skogsbruksåtgärd</t>
        </is>
      </c>
      <c r="D202" s="1" t="n">
        <v>45565</v>
      </c>
      <c r="E202" s="1" t="n">
        <v>46222</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s="2" t="inlineStr"/>
    </row>
    <row r="203" ht="15" customHeight="1">
      <c r="A203" t="inlineStr">
        <is>
          <t>S 2770-2024</t>
        </is>
      </c>
      <c r="B203" t="inlineStr">
        <is>
          <t>samrådsanmälan</t>
        </is>
      </c>
      <c r="C203" t="inlineStr">
        <is>
          <t>Annan skogsbruksåtgärd</t>
        </is>
      </c>
      <c r="D203" s="1" t="n">
        <v>45485</v>
      </c>
      <c r="E203" s="1" t="n">
        <v>46222</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s="2" t="inlineStr"/>
    </row>
    <row r="204" ht="15" customHeight="1">
      <c r="A204" t="inlineStr">
        <is>
          <t>S 4009-2024</t>
        </is>
      </c>
      <c r="B204" t="inlineStr">
        <is>
          <t>samrådsanmälan</t>
        </is>
      </c>
      <c r="C204" t="inlineStr">
        <is>
          <t>Annan skogsbruksåtgärd</t>
        </is>
      </c>
      <c r="D204" s="1" t="n">
        <v>45571</v>
      </c>
      <c r="E204" s="1" t="n">
        <v>46222</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s="2" t="inlineStr"/>
    </row>
    <row r="205">
      <c r="A205" t="inlineStr">
        <is>
          <t>S 6039-2022</t>
        </is>
      </c>
      <c r="B205" t="inlineStr">
        <is>
          <t>samrådsanmälan</t>
        </is>
      </c>
      <c r="C205" t="inlineStr">
        <is>
          <t>Annan skogsbruksåtgärd</t>
        </is>
      </c>
      <c r="D205" s="1" t="n">
        <v>44859</v>
      </c>
      <c r="E205" s="1" t="n">
        <v>46222</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2026-07-19T01:34:24Z</dcterms:created>
  <dcterms:modified xmlns:dcterms="http://purl.org/dc/terms/" xmlns:xsi="http://www.w3.org/2001/XMLSchema-instance" xsi:type="dcterms:W3CDTF">2026-07-19T01:34:24Z</dcterms:modified>
</cp:coreProperties>
</file>