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45785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45785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45785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45785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45785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45785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45785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45785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45785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45785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45785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45785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45785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45785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45785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45785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45785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45785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45785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45785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45785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45785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51019-2024</t>
        </is>
      </c>
      <c r="B24" s="1" t="n">
        <v>45603</v>
      </c>
      <c r="C24" s="1" t="n">
        <v>45785</v>
      </c>
      <c r="D24" t="inlineStr">
        <is>
          <t>STOCKHOLMS LÄN</t>
        </is>
      </c>
      <c r="E24" t="inlineStr">
        <is>
          <t>SÖDERTÄLJE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Grönpyrola</t>
        </is>
      </c>
      <c r="S24">
        <f>HYPERLINK("https://klasma.github.io/Logging_0181/artfynd/A 51019-2024 artfynd.xlsx", "A 51019-2024")</f>
        <v/>
      </c>
      <c r="T24">
        <f>HYPERLINK("https://klasma.github.io/Logging_0181/kartor/A 51019-2024 karta.png", "A 51019-2024")</f>
        <v/>
      </c>
      <c r="V24">
        <f>HYPERLINK("https://klasma.github.io/Logging_0181/klagomål/A 51019-2024 FSC-klagomål.docx", "A 51019-2024")</f>
        <v/>
      </c>
      <c r="W24">
        <f>HYPERLINK("https://klasma.github.io/Logging_0181/klagomålsmail/A 51019-2024 FSC-klagomål mail.docx", "A 51019-2024")</f>
        <v/>
      </c>
      <c r="X24">
        <f>HYPERLINK("https://klasma.github.io/Logging_0181/tillsyn/A 51019-2024 tillsynsbegäran.docx", "A 51019-2024")</f>
        <v/>
      </c>
      <c r="Y24">
        <f>HYPERLINK("https://klasma.github.io/Logging_0181/tillsynsmail/A 51019-2024 tillsynsbegäran mail.docx", "A 51019-2024")</f>
        <v/>
      </c>
    </row>
    <row r="25" ht="15" customHeight="1">
      <c r="A25" t="inlineStr">
        <is>
          <t>A 16535-2025</t>
        </is>
      </c>
      <c r="B25" s="1" t="n">
        <v>45751</v>
      </c>
      <c r="C25" s="1" t="n">
        <v>45785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HYPERLINK("https://klasma.github.io/Logging_010181/artfynd/A 16535-2025 artfynd.xlsx", "A 16535-2025")</f>
        <v/>
      </c>
      <c r="T25">
        <f>HYPERLINK("https://klasma.github.io/Logging_010181/kartor/A 16535-2025 karta.png", "A 16535-2025")</f>
        <v/>
      </c>
      <c r="V25">
        <f>HYPERLINK("https://klasma.github.io/Logging_010181/klagomål/A 16535-2025 FSC-klagomål.docx", "A 16535-2025")</f>
        <v/>
      </c>
      <c r="W25">
        <f>HYPERLINK("https://klasma.github.io/Logging_010181/klagomålsmail/A 16535-2025 FSC-klagomål mail.docx", "A 16535-2025")</f>
        <v/>
      </c>
      <c r="X25">
        <f>HYPERLINK("https://klasma.github.io/Logging_010181/tillsyn/A 16535-2025 tillsynsbegäran.docx", "A 16535-2025")</f>
        <v/>
      </c>
      <c r="Y25">
        <f>HYPERLINK("https://klasma.github.io/Logging_010181/tillsynsmail/A 16535-2025 tillsynsbegäran mail.docx", "A 16535-2025")</f>
        <v/>
      </c>
    </row>
    <row r="26" ht="15" customHeight="1">
      <c r="A26" t="inlineStr">
        <is>
          <t>A 27513-2019</t>
        </is>
      </c>
      <c r="B26" s="1" t="n">
        <v>43619</v>
      </c>
      <c r="C26" s="1" t="n">
        <v>45785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HYPERLINK("https://klasma.github.io/Logging_0181/artfynd/A 27513-2019 artfynd.xlsx", "A 27513-2019")</f>
        <v/>
      </c>
      <c r="T26">
        <f>HYPERLINK("https://klasma.github.io/Logging_0181/kartor/A 27513-2019 karta.png", "A 27513-2019")</f>
        <v/>
      </c>
      <c r="V26">
        <f>HYPERLINK("https://klasma.github.io/Logging_0181/klagomål/A 27513-2019 FSC-klagomål.docx", "A 27513-2019")</f>
        <v/>
      </c>
      <c r="W26">
        <f>HYPERLINK("https://klasma.github.io/Logging_0181/klagomålsmail/A 27513-2019 FSC-klagomål mail.docx", "A 27513-2019")</f>
        <v/>
      </c>
      <c r="X26">
        <f>HYPERLINK("https://klasma.github.io/Logging_0181/tillsyn/A 27513-2019 tillsynsbegäran.docx", "A 27513-2019")</f>
        <v/>
      </c>
      <c r="Y26">
        <f>HYPERLINK("https://klasma.github.io/Logging_0181/tillsynsmail/A 27513-2019 tillsynsbegäran mail.docx", "A 27513-2019")</f>
        <v/>
      </c>
    </row>
    <row r="27" ht="15" customHeight="1">
      <c r="A27" t="inlineStr">
        <is>
          <t>A 59643-2019</t>
        </is>
      </c>
      <c r="B27" s="1" t="n">
        <v>43776</v>
      </c>
      <c r="C27" s="1" t="n">
        <v>45785</v>
      </c>
      <c r="D27" t="inlineStr">
        <is>
          <t>STOCKHOLMS LÄN</t>
        </is>
      </c>
      <c r="E27" t="inlineStr">
        <is>
          <t>SÖDERTÄLJE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59643-2019 artfynd.xlsx", "A 59643-2019")</f>
        <v/>
      </c>
      <c r="T27">
        <f>HYPERLINK("https://klasma.github.io/Logging_0181/kartor/A 59643-2019 karta.png", "A 59643-2019")</f>
        <v/>
      </c>
      <c r="U27">
        <f>HYPERLINK("https://klasma.github.io/Logging_0181/knärot/A 59643-2019 karta knärot.png", "A 59643-2019")</f>
        <v/>
      </c>
      <c r="V27">
        <f>HYPERLINK("https://klasma.github.io/Logging_0181/klagomål/A 59643-2019 FSC-klagomål.docx", "A 59643-2019")</f>
        <v/>
      </c>
      <c r="W27">
        <f>HYPERLINK("https://klasma.github.io/Logging_0181/klagomålsmail/A 59643-2019 FSC-klagomål mail.docx", "A 59643-2019")</f>
        <v/>
      </c>
      <c r="X27">
        <f>HYPERLINK("https://klasma.github.io/Logging_0181/tillsyn/A 59643-2019 tillsynsbegäran.docx", "A 59643-2019")</f>
        <v/>
      </c>
      <c r="Y27">
        <f>HYPERLINK("https://klasma.github.io/Logging_0181/tillsynsmail/A 59643-2019 tillsynsbegäran mail.docx", "A 59643-2019")</f>
        <v/>
      </c>
    </row>
    <row r="28" ht="15" customHeight="1">
      <c r="A28" t="inlineStr">
        <is>
          <t>A 12832-2020</t>
        </is>
      </c>
      <c r="B28" s="1" t="n">
        <v>43899</v>
      </c>
      <c r="C28" s="1" t="n">
        <v>45785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Ängsskära</t>
        </is>
      </c>
      <c r="S28">
        <f>HYPERLINK("https://klasma.github.io/Logging_0181/artfynd/A 12832-2020 artfynd.xlsx", "A 12832-2020")</f>
        <v/>
      </c>
      <c r="T28">
        <f>HYPERLINK("https://klasma.github.io/Logging_0181/kartor/A 12832-2020 karta.png", "A 12832-2020")</f>
        <v/>
      </c>
      <c r="V28">
        <f>HYPERLINK("https://klasma.github.io/Logging_0181/klagomål/A 12832-2020 FSC-klagomål.docx", "A 12832-2020")</f>
        <v/>
      </c>
      <c r="W28">
        <f>HYPERLINK("https://klasma.github.io/Logging_0181/klagomålsmail/A 12832-2020 FSC-klagomål mail.docx", "A 12832-2020")</f>
        <v/>
      </c>
      <c r="X28">
        <f>HYPERLINK("https://klasma.github.io/Logging_0181/tillsyn/A 12832-2020 tillsynsbegäran.docx", "A 12832-2020")</f>
        <v/>
      </c>
      <c r="Y28">
        <f>HYPERLINK("https://klasma.github.io/Logging_0181/tillsynsmail/A 12832-2020 tillsynsbegäran mail.docx", "A 12832-2020")</f>
        <v/>
      </c>
    </row>
    <row r="29" ht="15" customHeight="1">
      <c r="A29" t="inlineStr">
        <is>
          <t>A 27757-2021</t>
        </is>
      </c>
      <c r="B29" s="1" t="n">
        <v>44354</v>
      </c>
      <c r="C29" s="1" t="n">
        <v>45785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HYPERLINK("https://klasma.github.io/Logging_0181/artfynd/A 27757-2021 artfynd.xlsx", "A 27757-2021")</f>
        <v/>
      </c>
      <c r="T29">
        <f>HYPERLINK("https://klasma.github.io/Logging_0181/kartor/A 27757-2021 karta.png", "A 27757-2021")</f>
        <v/>
      </c>
      <c r="V29">
        <f>HYPERLINK("https://klasma.github.io/Logging_0181/klagomål/A 27757-2021 FSC-klagomål.docx", "A 27757-2021")</f>
        <v/>
      </c>
      <c r="W29">
        <f>HYPERLINK("https://klasma.github.io/Logging_0181/klagomålsmail/A 27757-2021 FSC-klagomål mail.docx", "A 27757-2021")</f>
        <v/>
      </c>
      <c r="X29">
        <f>HYPERLINK("https://klasma.github.io/Logging_0181/tillsyn/A 27757-2021 tillsynsbegäran.docx", "A 27757-2021")</f>
        <v/>
      </c>
      <c r="Y29">
        <f>HYPERLINK("https://klasma.github.io/Logging_0181/tillsynsmail/A 27757-2021 tillsynsbegäran mail.docx", "A 27757-2021")</f>
        <v/>
      </c>
    </row>
    <row r="30" ht="15" customHeight="1">
      <c r="A30" t="inlineStr">
        <is>
          <t>A 37678-2021</t>
        </is>
      </c>
      <c r="B30" s="1" t="n">
        <v>44400</v>
      </c>
      <c r="C30" s="1" t="n">
        <v>45785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HYPERLINK("https://klasma.github.io/Logging_0181/artfynd/A 37678-2021 artfynd.xlsx", "A 37678-2021")</f>
        <v/>
      </c>
      <c r="T30">
        <f>HYPERLINK("https://klasma.github.io/Logging_0181/kartor/A 37678-2021 karta.png", "A 37678-2021")</f>
        <v/>
      </c>
      <c r="V30">
        <f>HYPERLINK("https://klasma.github.io/Logging_0181/klagomål/A 37678-2021 FSC-klagomål.docx", "A 37678-2021")</f>
        <v/>
      </c>
      <c r="W30">
        <f>HYPERLINK("https://klasma.github.io/Logging_0181/klagomålsmail/A 37678-2021 FSC-klagomål mail.docx", "A 37678-2021")</f>
        <v/>
      </c>
      <c r="X30">
        <f>HYPERLINK("https://klasma.github.io/Logging_0181/tillsyn/A 37678-2021 tillsynsbegäran.docx", "A 37678-2021")</f>
        <v/>
      </c>
      <c r="Y30">
        <f>HYPERLINK("https://klasma.github.io/Logging_0181/tillsynsmail/A 37678-2021 tillsynsbegäran mail.docx", "A 37678-2021")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45785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45785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38452-2022</t>
        </is>
      </c>
      <c r="B33" s="1" t="n">
        <v>44813</v>
      </c>
      <c r="C33" s="1" t="n">
        <v>45785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HYPERLINK("https://klasma.github.io/Logging_0181/artfynd/A 38452-2022 artfynd.xlsx", "A 38452-2022")</f>
        <v/>
      </c>
      <c r="T33">
        <f>HYPERLINK("https://klasma.github.io/Logging_0181/kartor/A 38452-2022 karta.png", "A 38452-2022")</f>
        <v/>
      </c>
      <c r="V33">
        <f>HYPERLINK("https://klasma.github.io/Logging_0181/klagomål/A 38452-2022 FSC-klagomål.docx", "A 38452-2022")</f>
        <v/>
      </c>
      <c r="W33">
        <f>HYPERLINK("https://klasma.github.io/Logging_0181/klagomålsmail/A 38452-2022 FSC-klagomål mail.docx", "A 38452-2022")</f>
        <v/>
      </c>
      <c r="X33">
        <f>HYPERLINK("https://klasma.github.io/Logging_0181/tillsyn/A 38452-2022 tillsynsbegäran.docx", "A 38452-2022")</f>
        <v/>
      </c>
      <c r="Y33">
        <f>HYPERLINK("https://klasma.github.io/Logging_0181/tillsynsmail/A 38452-2022 tillsynsbegäran mail.docx", "A 38452-2022")</f>
        <v/>
      </c>
    </row>
    <row r="34" ht="15" customHeight="1">
      <c r="A34" t="inlineStr">
        <is>
          <t>A 40816-2022</t>
        </is>
      </c>
      <c r="B34" s="1" t="n">
        <v>44824</v>
      </c>
      <c r="C34" s="1" t="n">
        <v>45785</v>
      </c>
      <c r="D34" t="inlineStr">
        <is>
          <t>STOCKHOLMS LÄN</t>
        </is>
      </c>
      <c r="E34" t="inlineStr">
        <is>
          <t>SÖDERTÄLJE</t>
        </is>
      </c>
      <c r="G34" t="n">
        <v>10.2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HYPERLINK("https://klasma.github.io/Logging_0181/artfynd/A 40816-2022 artfynd.xlsx", "A 40816-2022")</f>
        <v/>
      </c>
      <c r="T34">
        <f>HYPERLINK("https://klasma.github.io/Logging_0181/kartor/A 40816-2022 karta.png", "A 40816-2022")</f>
        <v/>
      </c>
      <c r="U34">
        <f>HYPERLINK("https://klasma.github.io/Logging_0181/knärot/A 40816-2022 karta knärot.png", "A 40816-2022")</f>
        <v/>
      </c>
      <c r="V34">
        <f>HYPERLINK("https://klasma.github.io/Logging_0181/klagomål/A 40816-2022 FSC-klagomål.docx", "A 40816-2022")</f>
        <v/>
      </c>
      <c r="W34">
        <f>HYPERLINK("https://klasma.github.io/Logging_0181/klagomålsmail/A 40816-2022 FSC-klagomål mail.docx", "A 40816-2022")</f>
        <v/>
      </c>
      <c r="X34">
        <f>HYPERLINK("https://klasma.github.io/Logging_0181/tillsyn/A 40816-2022 tillsynsbegäran.docx", "A 40816-2022")</f>
        <v/>
      </c>
      <c r="Y34">
        <f>HYPERLINK("https://klasma.github.io/Logging_0181/tillsynsmail/A 40816-2022 tillsynsbegäran mail.docx", "A 40816-2022")</f>
        <v/>
      </c>
    </row>
    <row r="35" ht="15" customHeight="1">
      <c r="A35" t="inlineStr">
        <is>
          <t>A 44958-2022</t>
        </is>
      </c>
      <c r="B35" s="1" t="n">
        <v>44841</v>
      </c>
      <c r="C35" s="1" t="n">
        <v>45785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HYPERLINK("https://klasma.github.io/Logging_0181/artfynd/A 44958-2022 artfynd.xlsx", "A 44958-2022")</f>
        <v/>
      </c>
      <c r="T35">
        <f>HYPERLINK("https://klasma.github.io/Logging_0181/kartor/A 44958-2022 karta.png", "A 44958-2022")</f>
        <v/>
      </c>
      <c r="V35">
        <f>HYPERLINK("https://klasma.github.io/Logging_0181/klagomål/A 44958-2022 FSC-klagomål.docx", "A 44958-2022")</f>
        <v/>
      </c>
      <c r="W35">
        <f>HYPERLINK("https://klasma.github.io/Logging_0181/klagomålsmail/A 44958-2022 FSC-klagomål mail.docx", "A 44958-2022")</f>
        <v/>
      </c>
      <c r="X35">
        <f>HYPERLINK("https://klasma.github.io/Logging_0181/tillsyn/A 44958-2022 tillsynsbegäran.docx", "A 44958-2022")</f>
        <v/>
      </c>
      <c r="Y35">
        <f>HYPERLINK("https://klasma.github.io/Logging_0181/tillsynsmail/A 44958-2022 tillsynsbegäran mail.docx", "A 44958-2022")</f>
        <v/>
      </c>
    </row>
    <row r="36" ht="15" customHeight="1">
      <c r="A36" t="inlineStr">
        <is>
          <t>A 13199-2023</t>
        </is>
      </c>
      <c r="B36" s="1" t="n">
        <v>45002</v>
      </c>
      <c r="C36" s="1" t="n">
        <v>45785</v>
      </c>
      <c r="D36" t="inlineStr">
        <is>
          <t>STOCKHOLMS LÄN</t>
        </is>
      </c>
      <c r="E36" t="inlineStr">
        <is>
          <t>SÖDERTÄLJE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HYPERLINK("https://klasma.github.io/Logging_0181/artfynd/A 13199-2023 artfynd.xlsx", "A 13199-2023")</f>
        <v/>
      </c>
      <c r="T36">
        <f>HYPERLINK("https://klasma.github.io/Logging_0181/kartor/A 13199-2023 karta.png", "A 13199-2023")</f>
        <v/>
      </c>
      <c r="V36">
        <f>HYPERLINK("https://klasma.github.io/Logging_0181/klagomål/A 13199-2023 FSC-klagomål.docx", "A 13199-2023")</f>
        <v/>
      </c>
      <c r="W36">
        <f>HYPERLINK("https://klasma.github.io/Logging_0181/klagomålsmail/A 13199-2023 FSC-klagomål mail.docx", "A 13199-2023")</f>
        <v/>
      </c>
      <c r="X36">
        <f>HYPERLINK("https://klasma.github.io/Logging_0181/tillsyn/A 13199-2023 tillsynsbegäran.docx", "A 13199-2023")</f>
        <v/>
      </c>
      <c r="Y36">
        <f>HYPERLINK("https://klasma.github.io/Logging_0181/tillsynsmail/A 13199-2023 tillsynsbegäran mail.docx", "A 13199-2023")</f>
        <v/>
      </c>
      <c r="Z36">
        <f>HYPERLINK("https://klasma.github.io/Logging_0181/fåglar/A 13199-2023 prioriterade fågelarter.docx", "A 13199-2023")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45785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45785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47711-2023</t>
        </is>
      </c>
      <c r="B39" s="1" t="n">
        <v>45198</v>
      </c>
      <c r="C39" s="1" t="n">
        <v>45785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HYPERLINK("https://klasma.github.io/Logging_0181/artfynd/A 47711-2023 artfynd.xlsx", "A 47711-2023")</f>
        <v/>
      </c>
      <c r="T39">
        <f>HYPERLINK("https://klasma.github.io/Logging_0181/kartor/A 47711-2023 karta.png", "A 47711-2023")</f>
        <v/>
      </c>
      <c r="V39">
        <f>HYPERLINK("https://klasma.github.io/Logging_0181/klagomål/A 47711-2023 FSC-klagomål.docx", "A 47711-2023")</f>
        <v/>
      </c>
      <c r="W39">
        <f>HYPERLINK("https://klasma.github.io/Logging_0181/klagomålsmail/A 47711-2023 FSC-klagomål mail.docx", "A 47711-2023")</f>
        <v/>
      </c>
      <c r="X39">
        <f>HYPERLINK("https://klasma.github.io/Logging_0181/tillsyn/A 47711-2023 tillsynsbegäran.docx", "A 47711-2023")</f>
        <v/>
      </c>
      <c r="Y39">
        <f>HYPERLINK("https://klasma.github.io/Logging_0181/tillsynsmail/A 47711-2023 tillsynsbegäran mail.docx", "A 47711-2023")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45785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45785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45785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45785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45785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45785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45785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45785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45785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45785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45785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45785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24657-2019</t>
        </is>
      </c>
      <c r="B52" s="1" t="n">
        <v>43601</v>
      </c>
      <c r="C52" s="1" t="n">
        <v>45785</v>
      </c>
      <c r="D52" t="inlineStr">
        <is>
          <t>STOCKHOLMS LÄN</t>
        </is>
      </c>
      <c r="E52" t="inlineStr">
        <is>
          <t>SÖDERTÄLJE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26566-2019</t>
        </is>
      </c>
      <c r="B53" s="1" t="n">
        <v>43612</v>
      </c>
      <c r="C53" s="1" t="n">
        <v>45785</v>
      </c>
      <c r="D53" t="inlineStr">
        <is>
          <t>STOCKHOLMS LÄN</t>
        </is>
      </c>
      <c r="E53" t="inlineStr">
        <is>
          <t>SÖDERTÄLJE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27505-2019</t>
        </is>
      </c>
      <c r="B54" s="1" t="n">
        <v>43619</v>
      </c>
      <c r="C54" s="1" t="n">
        <v>45785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27502-2019</t>
        </is>
      </c>
      <c r="B55" s="1" t="n">
        <v>43619</v>
      </c>
      <c r="C55" s="1" t="n">
        <v>45785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31662-2019</t>
        </is>
      </c>
      <c r="B56" s="1" t="n">
        <v>43642</v>
      </c>
      <c r="C56" s="1" t="n">
        <v>45785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36882-2019</t>
        </is>
      </c>
      <c r="B57" s="1" t="n">
        <v>43675</v>
      </c>
      <c r="C57" s="1" t="n">
        <v>45785</v>
      </c>
      <c r="D57" t="inlineStr">
        <is>
          <t>STOCKHOLMS LÄN</t>
        </is>
      </c>
      <c r="E57" t="inlineStr">
        <is>
          <t>SÖDERTÄLJE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37227-2019</t>
        </is>
      </c>
      <c r="B58" s="1" t="n">
        <v>43677</v>
      </c>
      <c r="C58" s="1" t="n">
        <v>45785</v>
      </c>
      <c r="D58" t="inlineStr">
        <is>
          <t>STOCKHOLMS LÄN</t>
        </is>
      </c>
      <c r="E58" t="inlineStr">
        <is>
          <t>SÖDERTÄLJE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39090-2019</t>
        </is>
      </c>
      <c r="B59" s="1" t="n">
        <v>43689</v>
      </c>
      <c r="C59" s="1" t="n">
        <v>45785</v>
      </c>
      <c r="D59" t="inlineStr">
        <is>
          <t>STOCKHOLMS LÄN</t>
        </is>
      </c>
      <c r="E59" t="inlineStr">
        <is>
          <t>SÖDERTÄLJE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39083-2019</t>
        </is>
      </c>
      <c r="B60" s="1" t="n">
        <v>43689</v>
      </c>
      <c r="C60" s="1" t="n">
        <v>45785</v>
      </c>
      <c r="D60" t="inlineStr">
        <is>
          <t>STOCKHOLMS LÄN</t>
        </is>
      </c>
      <c r="E60" t="inlineStr">
        <is>
          <t>SÖDERTÄLJE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41065-2019</t>
        </is>
      </c>
      <c r="B61" s="1" t="n">
        <v>43697</v>
      </c>
      <c r="C61" s="1" t="n">
        <v>45785</v>
      </c>
      <c r="D61" t="inlineStr">
        <is>
          <t>STOCKHOLMS LÄN</t>
        </is>
      </c>
      <c r="E61" t="inlineStr">
        <is>
          <t>SÖDERTÄLJE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42669-2019</t>
        </is>
      </c>
      <c r="B62" s="1" t="n">
        <v>43704</v>
      </c>
      <c r="C62" s="1" t="n">
        <v>45785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44921-2019</t>
        </is>
      </c>
      <c r="B63" s="1" t="n">
        <v>43712</v>
      </c>
      <c r="C63" s="1" t="n">
        <v>45785</v>
      </c>
      <c r="D63" t="inlineStr">
        <is>
          <t>STOCKHOLMS LÄN</t>
        </is>
      </c>
      <c r="E63" t="inlineStr">
        <is>
          <t>SÖDERTÄLJE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45306-2019</t>
        </is>
      </c>
      <c r="B64" s="1" t="n">
        <v>43713</v>
      </c>
      <c r="C64" s="1" t="n">
        <v>45785</v>
      </c>
      <c r="D64" t="inlineStr">
        <is>
          <t>STOCKHOLMS LÄN</t>
        </is>
      </c>
      <c r="E64" t="inlineStr">
        <is>
          <t>SÖDERTÄLJE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49130-2019</t>
        </is>
      </c>
      <c r="B65" s="1" t="n">
        <v>43731</v>
      </c>
      <c r="C65" s="1" t="n">
        <v>45785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49131-2019</t>
        </is>
      </c>
      <c r="B66" s="1" t="n">
        <v>43731</v>
      </c>
      <c r="C66" s="1" t="n">
        <v>45785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50396-2019</t>
        </is>
      </c>
      <c r="B67" s="1" t="n">
        <v>43735</v>
      </c>
      <c r="C67" s="1" t="n">
        <v>45785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50435-2019</t>
        </is>
      </c>
      <c r="B68" s="1" t="n">
        <v>43735</v>
      </c>
      <c r="C68" s="1" t="n">
        <v>45785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50443-2019</t>
        </is>
      </c>
      <c r="B69" s="1" t="n">
        <v>43735</v>
      </c>
      <c r="C69" s="1" t="n">
        <v>45785</v>
      </c>
      <c r="D69" t="inlineStr">
        <is>
          <t>STOCKHOLMS LÄN</t>
        </is>
      </c>
      <c r="E69" t="inlineStr">
        <is>
          <t>SÖDERTÄLJE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50389-2019</t>
        </is>
      </c>
      <c r="B70" s="1" t="n">
        <v>43735</v>
      </c>
      <c r="C70" s="1" t="n">
        <v>45785</v>
      </c>
      <c r="D70" t="inlineStr">
        <is>
          <t>STOCKHOLMS LÄN</t>
        </is>
      </c>
      <c r="E70" t="inlineStr">
        <is>
          <t>SÖDERTÄLJE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50425-2019</t>
        </is>
      </c>
      <c r="B71" s="1" t="n">
        <v>43735</v>
      </c>
      <c r="C71" s="1" t="n">
        <v>45785</v>
      </c>
      <c r="D71" t="inlineStr">
        <is>
          <t>STOCKHOLMS LÄN</t>
        </is>
      </c>
      <c r="E71" t="inlineStr">
        <is>
          <t>SÖDERTÄLJE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50446-2019</t>
        </is>
      </c>
      <c r="B72" s="1" t="n">
        <v>43735</v>
      </c>
      <c r="C72" s="1" t="n">
        <v>45785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50441-2019</t>
        </is>
      </c>
      <c r="B73" s="1" t="n">
        <v>43735</v>
      </c>
      <c r="C73" s="1" t="n">
        <v>45785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50419-2019</t>
        </is>
      </c>
      <c r="B74" s="1" t="n">
        <v>43735</v>
      </c>
      <c r="C74" s="1" t="n">
        <v>45785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55974-2019</t>
        </is>
      </c>
      <c r="B75" s="1" t="n">
        <v>43759</v>
      </c>
      <c r="C75" s="1" t="n">
        <v>45785</v>
      </c>
      <c r="D75" t="inlineStr">
        <is>
          <t>STOCKHOLMS LÄN</t>
        </is>
      </c>
      <c r="E75" t="inlineStr">
        <is>
          <t>SÖDERTÄLJE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55866-2019</t>
        </is>
      </c>
      <c r="B76" s="1" t="n">
        <v>43759</v>
      </c>
      <c r="C76" s="1" t="n">
        <v>45785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55954-2019</t>
        </is>
      </c>
      <c r="B77" s="1" t="n">
        <v>43759</v>
      </c>
      <c r="C77" s="1" t="n">
        <v>45785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55965-2019</t>
        </is>
      </c>
      <c r="B78" s="1" t="n">
        <v>43759</v>
      </c>
      <c r="C78" s="1" t="n">
        <v>45785</v>
      </c>
      <c r="D78" t="inlineStr">
        <is>
          <t>STOCKHOLMS LÄN</t>
        </is>
      </c>
      <c r="E78" t="inlineStr">
        <is>
          <t>SÖDERTÄLJE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55870-2019</t>
        </is>
      </c>
      <c r="B79" s="1" t="n">
        <v>43759</v>
      </c>
      <c r="C79" s="1" t="n">
        <v>45785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55848-2019</t>
        </is>
      </c>
      <c r="B80" s="1" t="n">
        <v>43759</v>
      </c>
      <c r="C80" s="1" t="n">
        <v>45785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55980-2019</t>
        </is>
      </c>
      <c r="B81" s="1" t="n">
        <v>43759</v>
      </c>
      <c r="C81" s="1" t="n">
        <v>45785</v>
      </c>
      <c r="D81" t="inlineStr">
        <is>
          <t>STOCKHOLMS LÄN</t>
        </is>
      </c>
      <c r="E81" t="inlineStr">
        <is>
          <t>SÖDERTÄLJE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59155-2019</t>
        </is>
      </c>
      <c r="B82" s="1" t="n">
        <v>43775</v>
      </c>
      <c r="C82" s="1" t="n">
        <v>45785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59790-2019</t>
        </is>
      </c>
      <c r="B83" s="1" t="n">
        <v>43776</v>
      </c>
      <c r="C83" s="1" t="n">
        <v>45785</v>
      </c>
      <c r="D83" t="inlineStr">
        <is>
          <t>STOCKHOLMS LÄN</t>
        </is>
      </c>
      <c r="E83" t="inlineStr">
        <is>
          <t>SÖDERTÄLJE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64995-2019</t>
        </is>
      </c>
      <c r="B84" s="1" t="n">
        <v>43801</v>
      </c>
      <c r="C84" s="1" t="n">
        <v>45785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64938-2019</t>
        </is>
      </c>
      <c r="B85" s="1" t="n">
        <v>43801</v>
      </c>
      <c r="C85" s="1" t="n">
        <v>45785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630-2020</t>
        </is>
      </c>
      <c r="B86" s="1" t="n">
        <v>43838</v>
      </c>
      <c r="C86" s="1" t="n">
        <v>45785</v>
      </c>
      <c r="D86" t="inlineStr">
        <is>
          <t>STOCKHOLMS LÄN</t>
        </is>
      </c>
      <c r="E86" t="inlineStr">
        <is>
          <t>SÖDERTÄLJE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2559-2020</t>
        </is>
      </c>
      <c r="B87" s="1" t="n">
        <v>43843</v>
      </c>
      <c r="C87" s="1" t="n">
        <v>45785</v>
      </c>
      <c r="D87" t="inlineStr">
        <is>
          <t>STOCKHOLMS LÄN</t>
        </is>
      </c>
      <c r="E87" t="inlineStr">
        <is>
          <t>SÖDERTÄLJE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1811-2020</t>
        </is>
      </c>
      <c r="B88" s="1" t="n">
        <v>43844</v>
      </c>
      <c r="C88" s="1" t="n">
        <v>45785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6707-2020</t>
        </is>
      </c>
      <c r="B89" s="1" t="n">
        <v>43867</v>
      </c>
      <c r="C89" s="1" t="n">
        <v>45785</v>
      </c>
      <c r="D89" t="inlineStr">
        <is>
          <t>STOCKHOLMS LÄN</t>
        </is>
      </c>
      <c r="E89" t="inlineStr">
        <is>
          <t>SÖDERTÄLJE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8366-2020</t>
        </is>
      </c>
      <c r="B90" s="1" t="n">
        <v>43875</v>
      </c>
      <c r="C90" s="1" t="n">
        <v>45785</v>
      </c>
      <c r="D90" t="inlineStr">
        <is>
          <t>STOCKHOLMS LÄN</t>
        </is>
      </c>
      <c r="E90" t="inlineStr">
        <is>
          <t>SÖDERTÄLJE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10551-2020</t>
        </is>
      </c>
      <c r="B91" s="1" t="n">
        <v>43887</v>
      </c>
      <c r="C91" s="1" t="n">
        <v>45785</v>
      </c>
      <c r="D91" t="inlineStr">
        <is>
          <t>STOCKHOLMS LÄN</t>
        </is>
      </c>
      <c r="E91" t="inlineStr">
        <is>
          <t>SÖDERTÄLJE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20196-2020</t>
        </is>
      </c>
      <c r="B92" s="1" t="n">
        <v>43944</v>
      </c>
      <c r="C92" s="1" t="n">
        <v>45785</v>
      </c>
      <c r="D92" t="inlineStr">
        <is>
          <t>STOCKHOLMS LÄN</t>
        </is>
      </c>
      <c r="E92" t="inlineStr">
        <is>
          <t>SÖDERTÄLJE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27278-2020</t>
        </is>
      </c>
      <c r="B93" s="1" t="n">
        <v>43992</v>
      </c>
      <c r="C93" s="1" t="n">
        <v>45785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38010-2020</t>
        </is>
      </c>
      <c r="B94" s="1" t="n">
        <v>44057</v>
      </c>
      <c r="C94" s="1" t="n">
        <v>45785</v>
      </c>
      <c r="D94" t="inlineStr">
        <is>
          <t>STOCKHOLMS LÄN</t>
        </is>
      </c>
      <c r="E94" t="inlineStr">
        <is>
          <t>SÖDERTÄLJE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41080-2020</t>
        </is>
      </c>
      <c r="B95" s="1" t="n">
        <v>44069</v>
      </c>
      <c r="C95" s="1" t="n">
        <v>45785</v>
      </c>
      <c r="D95" t="inlineStr">
        <is>
          <t>STOCKHOLMS LÄN</t>
        </is>
      </c>
      <c r="E95" t="inlineStr">
        <is>
          <t>SÖDERTÄLJE</t>
        </is>
      </c>
      <c r="G95" t="n">
        <v>19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43237-2020</t>
        </is>
      </c>
      <c r="B96" s="1" t="n">
        <v>44076</v>
      </c>
      <c r="C96" s="1" t="n">
        <v>45785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44577-2020</t>
        </is>
      </c>
      <c r="B97" s="1" t="n">
        <v>44085</v>
      </c>
      <c r="C97" s="1" t="n">
        <v>45785</v>
      </c>
      <c r="D97" t="inlineStr">
        <is>
          <t>STOCKHOLMS LÄN</t>
        </is>
      </c>
      <c r="E97" t="inlineStr">
        <is>
          <t>SÖDERTÄLJE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46661-2020</t>
        </is>
      </c>
      <c r="B98" s="1" t="n">
        <v>44095</v>
      </c>
      <c r="C98" s="1" t="n">
        <v>45785</v>
      </c>
      <c r="D98" t="inlineStr">
        <is>
          <t>STOCKHOLMS LÄN</t>
        </is>
      </c>
      <c r="E98" t="inlineStr">
        <is>
          <t>SÖDERTÄLJE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46899-2020</t>
        </is>
      </c>
      <c r="B99" s="1" t="n">
        <v>44096</v>
      </c>
      <c r="C99" s="1" t="n">
        <v>45785</v>
      </c>
      <c r="D99" t="inlineStr">
        <is>
          <t>STOCKHOLMS LÄN</t>
        </is>
      </c>
      <c r="E99" t="inlineStr">
        <is>
          <t>SÖDERTÄLJE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49938-2020</t>
        </is>
      </c>
      <c r="B100" s="1" t="n">
        <v>44109</v>
      </c>
      <c r="C100" s="1" t="n">
        <v>45785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50529-2020</t>
        </is>
      </c>
      <c r="B101" s="1" t="n">
        <v>44110</v>
      </c>
      <c r="C101" s="1" t="n">
        <v>45785</v>
      </c>
      <c r="D101" t="inlineStr">
        <is>
          <t>STOCKHOLMS LÄN</t>
        </is>
      </c>
      <c r="E101" t="inlineStr">
        <is>
          <t>SÖDERTÄLJE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50524-2020</t>
        </is>
      </c>
      <c r="B102" s="1" t="n">
        <v>44110</v>
      </c>
      <c r="C102" s="1" t="n">
        <v>45785</v>
      </c>
      <c r="D102" t="inlineStr">
        <is>
          <t>STOCKHOLMS LÄN</t>
        </is>
      </c>
      <c r="E102" t="inlineStr">
        <is>
          <t>SÖDERTÄLJE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50520-2020</t>
        </is>
      </c>
      <c r="B103" s="1" t="n">
        <v>44110</v>
      </c>
      <c r="C103" s="1" t="n">
        <v>45785</v>
      </c>
      <c r="D103" t="inlineStr">
        <is>
          <t>STOCKHOLMS LÄN</t>
        </is>
      </c>
      <c r="E103" t="inlineStr">
        <is>
          <t>SÖDERTÄLJE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50527-2020</t>
        </is>
      </c>
      <c r="B104" s="1" t="n">
        <v>44110</v>
      </c>
      <c r="C104" s="1" t="n">
        <v>45785</v>
      </c>
      <c r="D104" t="inlineStr">
        <is>
          <t>STOCKHOLMS LÄN</t>
        </is>
      </c>
      <c r="E104" t="inlineStr">
        <is>
          <t>SÖDERTÄLJE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50523-2020</t>
        </is>
      </c>
      <c r="B105" s="1" t="n">
        <v>44110</v>
      </c>
      <c r="C105" s="1" t="n">
        <v>45785</v>
      </c>
      <c r="D105" t="inlineStr">
        <is>
          <t>STOCKHOLMS LÄN</t>
        </is>
      </c>
      <c r="E105" t="inlineStr">
        <is>
          <t>SÖDERTÄLJE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51203-2020</t>
        </is>
      </c>
      <c r="B106" s="1" t="n">
        <v>44112</v>
      </c>
      <c r="C106" s="1" t="n">
        <v>45785</v>
      </c>
      <c r="D106" t="inlineStr">
        <is>
          <t>STOCKHOLMS LÄN</t>
        </is>
      </c>
      <c r="E106" t="inlineStr">
        <is>
          <t>SÖDERTÄLJE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53750-2020</t>
        </is>
      </c>
      <c r="B107" s="1" t="n">
        <v>44124</v>
      </c>
      <c r="C107" s="1" t="n">
        <v>45785</v>
      </c>
      <c r="D107" t="inlineStr">
        <is>
          <t>STOCKHOLMS LÄN</t>
        </is>
      </c>
      <c r="E107" t="inlineStr">
        <is>
          <t>SÖDERTÄLJE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55466-2020</t>
        </is>
      </c>
      <c r="B108" s="1" t="n">
        <v>44130</v>
      </c>
      <c r="C108" s="1" t="n">
        <v>45785</v>
      </c>
      <c r="D108" t="inlineStr">
        <is>
          <t>STOCKHOLMS LÄN</t>
        </is>
      </c>
      <c r="E108" t="inlineStr">
        <is>
          <t>SÖDERTÄLJE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55464-2020</t>
        </is>
      </c>
      <c r="B109" s="1" t="n">
        <v>44130</v>
      </c>
      <c r="C109" s="1" t="n">
        <v>45785</v>
      </c>
      <c r="D109" t="inlineStr">
        <is>
          <t>STOCKHOLMS LÄN</t>
        </is>
      </c>
      <c r="E109" t="inlineStr">
        <is>
          <t>SÖDERTÄLJE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57992-2020</t>
        </is>
      </c>
      <c r="B110" s="1" t="n">
        <v>44143</v>
      </c>
      <c r="C110" s="1" t="n">
        <v>45785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68721-2020</t>
        </is>
      </c>
      <c r="B111" s="1" t="n">
        <v>44187</v>
      </c>
      <c r="C111" s="1" t="n">
        <v>45785</v>
      </c>
      <c r="D111" t="inlineStr">
        <is>
          <t>STOCKHOLMS LÄN</t>
        </is>
      </c>
      <c r="E111" t="inlineStr">
        <is>
          <t>SÖDERTÄLJE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9986-2021</t>
        </is>
      </c>
      <c r="B112" s="1" t="n">
        <v>44254</v>
      </c>
      <c r="C112" s="1" t="n">
        <v>45785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11126-2021</t>
        </is>
      </c>
      <c r="B113" s="1" t="n">
        <v>44260</v>
      </c>
      <c r="C113" s="1" t="n">
        <v>45785</v>
      </c>
      <c r="D113" t="inlineStr">
        <is>
          <t>STOCKHOLMS LÄN</t>
        </is>
      </c>
      <c r="E113" t="inlineStr">
        <is>
          <t>SÖDERTÄLJE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11361-2021</t>
        </is>
      </c>
      <c r="B114" s="1" t="n">
        <v>44263</v>
      </c>
      <c r="C114" s="1" t="n">
        <v>45785</v>
      </c>
      <c r="D114" t="inlineStr">
        <is>
          <t>STOCKHOLMS LÄN</t>
        </is>
      </c>
      <c r="E114" t="inlineStr">
        <is>
          <t>SÖDERTÄLJE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11360-2021</t>
        </is>
      </c>
      <c r="B115" s="1" t="n">
        <v>44263</v>
      </c>
      <c r="C115" s="1" t="n">
        <v>45785</v>
      </c>
      <c r="D115" t="inlineStr">
        <is>
          <t>STOCKHOLMS LÄN</t>
        </is>
      </c>
      <c r="E115" t="inlineStr">
        <is>
          <t>SÖDERTÄLJE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11368-2021</t>
        </is>
      </c>
      <c r="B116" s="1" t="n">
        <v>44263</v>
      </c>
      <c r="C116" s="1" t="n">
        <v>45785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12126-2021</t>
        </is>
      </c>
      <c r="B117" s="1" t="n">
        <v>44266</v>
      </c>
      <c r="C117" s="1" t="n">
        <v>45785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12901-2021</t>
        </is>
      </c>
      <c r="B118" s="1" t="n">
        <v>44271</v>
      </c>
      <c r="C118" s="1" t="n">
        <v>45785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14664-2021</t>
        </is>
      </c>
      <c r="B119" s="1" t="n">
        <v>44280</v>
      </c>
      <c r="C119" s="1" t="n">
        <v>45785</v>
      </c>
      <c r="D119" t="inlineStr">
        <is>
          <t>STOCKHOLMS LÄN</t>
        </is>
      </c>
      <c r="E119" t="inlineStr">
        <is>
          <t>SÖDERTÄLJE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14635-2021</t>
        </is>
      </c>
      <c r="B120" s="1" t="n">
        <v>44280</v>
      </c>
      <c r="C120" s="1" t="n">
        <v>45785</v>
      </c>
      <c r="D120" t="inlineStr">
        <is>
          <t>STOCKHOLMS LÄN</t>
        </is>
      </c>
      <c r="E120" t="inlineStr">
        <is>
          <t>SÖDERTÄLJE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25871-2021</t>
        </is>
      </c>
      <c r="B121" s="1" t="n">
        <v>44344</v>
      </c>
      <c r="C121" s="1" t="n">
        <v>45785</v>
      </c>
      <c r="D121" t="inlineStr">
        <is>
          <t>STOCKHOLMS LÄN</t>
        </is>
      </c>
      <c r="E121" t="inlineStr">
        <is>
          <t>SÖDERTÄLJE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25873-2021</t>
        </is>
      </c>
      <c r="B122" s="1" t="n">
        <v>44344</v>
      </c>
      <c r="C122" s="1" t="n">
        <v>45785</v>
      </c>
      <c r="D122" t="inlineStr">
        <is>
          <t>STOCKHOLMS LÄN</t>
        </is>
      </c>
      <c r="E122" t="inlineStr">
        <is>
          <t>SÖDERTÄLJE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27706-2021</t>
        </is>
      </c>
      <c r="B123" s="1" t="n">
        <v>44354</v>
      </c>
      <c r="C123" s="1" t="n">
        <v>45785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27715-2021</t>
        </is>
      </c>
      <c r="B124" s="1" t="n">
        <v>44354</v>
      </c>
      <c r="C124" s="1" t="n">
        <v>45785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27747-2021</t>
        </is>
      </c>
      <c r="B125" s="1" t="n">
        <v>44354</v>
      </c>
      <c r="C125" s="1" t="n">
        <v>45785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27739-2021</t>
        </is>
      </c>
      <c r="B126" s="1" t="n">
        <v>44354</v>
      </c>
      <c r="C126" s="1" t="n">
        <v>45785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27750-2021</t>
        </is>
      </c>
      <c r="B127" s="1" t="n">
        <v>44354</v>
      </c>
      <c r="C127" s="1" t="n">
        <v>45785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27769-2021</t>
        </is>
      </c>
      <c r="B128" s="1" t="n">
        <v>44354</v>
      </c>
      <c r="C128" s="1" t="n">
        <v>45785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27740-2021</t>
        </is>
      </c>
      <c r="B129" s="1" t="n">
        <v>44354</v>
      </c>
      <c r="C129" s="1" t="n">
        <v>45785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27753-2021</t>
        </is>
      </c>
      <c r="B130" s="1" t="n">
        <v>44354</v>
      </c>
      <c r="C130" s="1" t="n">
        <v>45785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27771-2021</t>
        </is>
      </c>
      <c r="B131" s="1" t="n">
        <v>44354</v>
      </c>
      <c r="C131" s="1" t="n">
        <v>45785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28136-2021</t>
        </is>
      </c>
      <c r="B132" s="1" t="n">
        <v>44355</v>
      </c>
      <c r="C132" s="1" t="n">
        <v>45785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34449-2021</t>
        </is>
      </c>
      <c r="B133" s="1" t="n">
        <v>44381</v>
      </c>
      <c r="C133" s="1" t="n">
        <v>45785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34450-2021</t>
        </is>
      </c>
      <c r="B134" s="1" t="n">
        <v>44381</v>
      </c>
      <c r="C134" s="1" t="n">
        <v>45785</v>
      </c>
      <c r="D134" t="inlineStr">
        <is>
          <t>STOCKHOLMS LÄN</t>
        </is>
      </c>
      <c r="E134" t="inlineStr">
        <is>
          <t>SÖDERTÄLJE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37676-2021</t>
        </is>
      </c>
      <c r="B135" s="1" t="n">
        <v>44400</v>
      </c>
      <c r="C135" s="1" t="n">
        <v>45785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37681-2021</t>
        </is>
      </c>
      <c r="B136" s="1" t="n">
        <v>44400</v>
      </c>
      <c r="C136" s="1" t="n">
        <v>45785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39133-2021</t>
        </is>
      </c>
      <c r="B137" s="1" t="n">
        <v>44412</v>
      </c>
      <c r="C137" s="1" t="n">
        <v>45785</v>
      </c>
      <c r="D137" t="inlineStr">
        <is>
          <t>STOCKHOLMS LÄN</t>
        </is>
      </c>
      <c r="E137" t="inlineStr">
        <is>
          <t>SÖDERTÄLJE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40751-2021</t>
        </is>
      </c>
      <c r="B138" s="1" t="n">
        <v>44420</v>
      </c>
      <c r="C138" s="1" t="n">
        <v>45785</v>
      </c>
      <c r="D138" t="inlineStr">
        <is>
          <t>STOCKHOLMS LÄN</t>
        </is>
      </c>
      <c r="E138" t="inlineStr">
        <is>
          <t>SÖDERTÄLJE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44650-2021</t>
        </is>
      </c>
      <c r="B139" s="1" t="n">
        <v>44437</v>
      </c>
      <c r="C139" s="1" t="n">
        <v>45785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45674-2021</t>
        </is>
      </c>
      <c r="B140" s="1" t="n">
        <v>44441</v>
      </c>
      <c r="C140" s="1" t="n">
        <v>45785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46688-2021</t>
        </is>
      </c>
      <c r="B141" s="1" t="n">
        <v>44445</v>
      </c>
      <c r="C141" s="1" t="n">
        <v>45785</v>
      </c>
      <c r="D141" t="inlineStr">
        <is>
          <t>STOCKHOLMS LÄN</t>
        </is>
      </c>
      <c r="E141" t="inlineStr">
        <is>
          <t>SÖDERTÄLJE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46671-2021</t>
        </is>
      </c>
      <c r="B142" s="1" t="n">
        <v>44445</v>
      </c>
      <c r="C142" s="1" t="n">
        <v>45785</v>
      </c>
      <c r="D142" t="inlineStr">
        <is>
          <t>STOCKHOLMS LÄN</t>
        </is>
      </c>
      <c r="E142" t="inlineStr">
        <is>
          <t>SÖDERTÄLJE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48387-2021</t>
        </is>
      </c>
      <c r="B143" s="1" t="n">
        <v>44451</v>
      </c>
      <c r="C143" s="1" t="n">
        <v>45785</v>
      </c>
      <c r="D143" t="inlineStr">
        <is>
          <t>STOCKHOLMS LÄN</t>
        </is>
      </c>
      <c r="E143" t="inlineStr">
        <is>
          <t>SÖDERTÄLJE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49136-2021</t>
        </is>
      </c>
      <c r="B144" s="1" t="n">
        <v>44454</v>
      </c>
      <c r="C144" s="1" t="n">
        <v>45785</v>
      </c>
      <c r="D144" t="inlineStr">
        <is>
          <t>STOCKHOLMS LÄN</t>
        </is>
      </c>
      <c r="E144" t="inlineStr">
        <is>
          <t>SÖDERTÄLJE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50059-2021</t>
        </is>
      </c>
      <c r="B145" s="1" t="n">
        <v>44455</v>
      </c>
      <c r="C145" s="1" t="n">
        <v>45785</v>
      </c>
      <c r="D145" t="inlineStr">
        <is>
          <t>STOCKHOLMS LÄN</t>
        </is>
      </c>
      <c r="E145" t="inlineStr">
        <is>
          <t>SÖDERTÄLJE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50117-2021</t>
        </is>
      </c>
      <c r="B146" s="1" t="n">
        <v>44456</v>
      </c>
      <c r="C146" s="1" t="n">
        <v>45785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51482-2021</t>
        </is>
      </c>
      <c r="B147" s="1" t="n">
        <v>44460</v>
      </c>
      <c r="C147" s="1" t="n">
        <v>45785</v>
      </c>
      <c r="D147" t="inlineStr">
        <is>
          <t>STOCKHOLMS LÄN</t>
        </is>
      </c>
      <c r="E147" t="inlineStr">
        <is>
          <t>SÖDERTÄLJE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51454-2021</t>
        </is>
      </c>
      <c r="B148" s="1" t="n">
        <v>44460</v>
      </c>
      <c r="C148" s="1" t="n">
        <v>45785</v>
      </c>
      <c r="D148" t="inlineStr">
        <is>
          <t>STOCKHOLMS LÄN</t>
        </is>
      </c>
      <c r="E148" t="inlineStr">
        <is>
          <t>SÖDERTÄLJE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52214-2021</t>
        </is>
      </c>
      <c r="B149" s="1" t="n">
        <v>44462</v>
      </c>
      <c r="C149" s="1" t="n">
        <v>45785</v>
      </c>
      <c r="D149" t="inlineStr">
        <is>
          <t>STOCKHOLMS LÄN</t>
        </is>
      </c>
      <c r="E149" t="inlineStr">
        <is>
          <t>SÖDERTÄLJE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53042-2021</t>
        </is>
      </c>
      <c r="B150" s="1" t="n">
        <v>44467</v>
      </c>
      <c r="C150" s="1" t="n">
        <v>45785</v>
      </c>
      <c r="D150" t="inlineStr">
        <is>
          <t>STOCKHOLMS LÄN</t>
        </is>
      </c>
      <c r="E150" t="inlineStr">
        <is>
          <t>SÖDERTÄLJE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57039-2021</t>
        </is>
      </c>
      <c r="B151" s="1" t="n">
        <v>44482</v>
      </c>
      <c r="C151" s="1" t="n">
        <v>45785</v>
      </c>
      <c r="D151" t="inlineStr">
        <is>
          <t>STOCKHOLMS LÄN</t>
        </is>
      </c>
      <c r="E151" t="inlineStr">
        <is>
          <t>SÖDERTÄLJE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57884-2021</t>
        </is>
      </c>
      <c r="B152" s="1" t="n">
        <v>44485</v>
      </c>
      <c r="C152" s="1" t="n">
        <v>45785</v>
      </c>
      <c r="D152" t="inlineStr">
        <is>
          <t>STOCKHOLMS LÄN</t>
        </is>
      </c>
      <c r="E152" t="inlineStr">
        <is>
          <t>SÖDERTÄLJE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59235-2021</t>
        </is>
      </c>
      <c r="B153" s="1" t="n">
        <v>44490</v>
      </c>
      <c r="C153" s="1" t="n">
        <v>45785</v>
      </c>
      <c r="D153" t="inlineStr">
        <is>
          <t>STOCKHOLMS LÄN</t>
        </is>
      </c>
      <c r="E153" t="inlineStr">
        <is>
          <t>SÖDERTÄLJE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63644-2021</t>
        </is>
      </c>
      <c r="B154" s="1" t="n">
        <v>44508</v>
      </c>
      <c r="C154" s="1" t="n">
        <v>45785</v>
      </c>
      <c r="D154" t="inlineStr">
        <is>
          <t>STOCKHOLMS LÄN</t>
        </is>
      </c>
      <c r="E154" t="inlineStr">
        <is>
          <t>SÖDERTÄLJE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64111-2021</t>
        </is>
      </c>
      <c r="B155" s="1" t="n">
        <v>44509</v>
      </c>
      <c r="C155" s="1" t="n">
        <v>45785</v>
      </c>
      <c r="D155" t="inlineStr">
        <is>
          <t>STOCKHOLMS LÄN</t>
        </is>
      </c>
      <c r="E155" t="inlineStr">
        <is>
          <t>SÖDERTÄLJE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70201-2021</t>
        </is>
      </c>
      <c r="B156" s="1" t="n">
        <v>44534</v>
      </c>
      <c r="C156" s="1" t="n">
        <v>45785</v>
      </c>
      <c r="D156" t="inlineStr">
        <is>
          <t>STOCKHOLMS LÄN</t>
        </is>
      </c>
      <c r="E156" t="inlineStr">
        <is>
          <t>SÖDERTÄLJE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72218-2021</t>
        </is>
      </c>
      <c r="B157" s="1" t="n">
        <v>44544</v>
      </c>
      <c r="C157" s="1" t="n">
        <v>45785</v>
      </c>
      <c r="D157" t="inlineStr">
        <is>
          <t>STOCKHOLMS LÄN</t>
        </is>
      </c>
      <c r="E157" t="inlineStr">
        <is>
          <t>SÖDERTÄLJE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314-2022</t>
        </is>
      </c>
      <c r="B158" s="1" t="n">
        <v>44564</v>
      </c>
      <c r="C158" s="1" t="n">
        <v>45785</v>
      </c>
      <c r="D158" t="inlineStr">
        <is>
          <t>STOCKHOLMS LÄN</t>
        </is>
      </c>
      <c r="E158" t="inlineStr">
        <is>
          <t>SÖDERTÄLJE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386-2022</t>
        </is>
      </c>
      <c r="B159" s="1" t="n">
        <v>44565</v>
      </c>
      <c r="C159" s="1" t="n">
        <v>45785</v>
      </c>
      <c r="D159" t="inlineStr">
        <is>
          <t>STOCKHOLMS LÄN</t>
        </is>
      </c>
      <c r="E159" t="inlineStr">
        <is>
          <t>SÖDERTÄLJE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1016-2022</t>
        </is>
      </c>
      <c r="B160" s="1" t="n">
        <v>44571</v>
      </c>
      <c r="C160" s="1" t="n">
        <v>45785</v>
      </c>
      <c r="D160" t="inlineStr">
        <is>
          <t>STOCKHOLMS LÄN</t>
        </is>
      </c>
      <c r="E160" t="inlineStr">
        <is>
          <t>SÖDERTÄLJE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1939-2022</t>
        </is>
      </c>
      <c r="B161" s="1" t="n">
        <v>44575</v>
      </c>
      <c r="C161" s="1" t="n">
        <v>45785</v>
      </c>
      <c r="D161" t="inlineStr">
        <is>
          <t>STOCKHOLMS LÄN</t>
        </is>
      </c>
      <c r="E161" t="inlineStr">
        <is>
          <t>SÖDERTÄLJE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2849-2022</t>
        </is>
      </c>
      <c r="B162" s="1" t="n">
        <v>44581</v>
      </c>
      <c r="C162" s="1" t="n">
        <v>45785</v>
      </c>
      <c r="D162" t="inlineStr">
        <is>
          <t>STOCKHOLMS LÄN</t>
        </is>
      </c>
      <c r="E162" t="inlineStr">
        <is>
          <t>SÖDERTÄLJE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3596-2022</t>
        </is>
      </c>
      <c r="B163" s="1" t="n">
        <v>44586</v>
      </c>
      <c r="C163" s="1" t="n">
        <v>45785</v>
      </c>
      <c r="D163" t="inlineStr">
        <is>
          <t>STOCKHOLMS LÄN</t>
        </is>
      </c>
      <c r="E163" t="inlineStr">
        <is>
          <t>SÖDERTÄLJE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3592-2022</t>
        </is>
      </c>
      <c r="B164" s="1" t="n">
        <v>44586</v>
      </c>
      <c r="C164" s="1" t="n">
        <v>45785</v>
      </c>
      <c r="D164" t="inlineStr">
        <is>
          <t>STOCKHOLMS LÄN</t>
        </is>
      </c>
      <c r="E164" t="inlineStr">
        <is>
          <t>SÖDERTÄLJE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3585-2022</t>
        </is>
      </c>
      <c r="B165" s="1" t="n">
        <v>44586</v>
      </c>
      <c r="C165" s="1" t="n">
        <v>45785</v>
      </c>
      <c r="D165" t="inlineStr">
        <is>
          <t>STOCKHOLMS LÄN</t>
        </is>
      </c>
      <c r="E165" t="inlineStr">
        <is>
          <t>SÖDERTÄLJE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6295-2022</t>
        </is>
      </c>
      <c r="B166" s="1" t="n">
        <v>44600</v>
      </c>
      <c r="C166" s="1" t="n">
        <v>45785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6740-2022</t>
        </is>
      </c>
      <c r="B167" s="1" t="n">
        <v>44602</v>
      </c>
      <c r="C167" s="1" t="n">
        <v>45785</v>
      </c>
      <c r="D167" t="inlineStr">
        <is>
          <t>STOCKHOLMS LÄN</t>
        </is>
      </c>
      <c r="E167" t="inlineStr">
        <is>
          <t>SÖDERTÄLJE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6886-2022</t>
        </is>
      </c>
      <c r="B168" s="1" t="n">
        <v>44602</v>
      </c>
      <c r="C168" s="1" t="n">
        <v>45785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12691-2022</t>
        </is>
      </c>
      <c r="B169" s="1" t="n">
        <v>44641</v>
      </c>
      <c r="C169" s="1" t="n">
        <v>45785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16437-2022</t>
        </is>
      </c>
      <c r="B170" s="1" t="n">
        <v>44671</v>
      </c>
      <c r="C170" s="1" t="n">
        <v>45785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16433-2022</t>
        </is>
      </c>
      <c r="B171" s="1" t="n">
        <v>44671</v>
      </c>
      <c r="C171" s="1" t="n">
        <v>45785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16724-2022</t>
        </is>
      </c>
      <c r="B172" s="1" t="n">
        <v>44673</v>
      </c>
      <c r="C172" s="1" t="n">
        <v>45785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statliga verk och myndigheter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20016-2022</t>
        </is>
      </c>
      <c r="B173" s="1" t="n">
        <v>44697</v>
      </c>
      <c r="C173" s="1" t="n">
        <v>45785</v>
      </c>
      <c r="D173" t="inlineStr">
        <is>
          <t>STOCKHOLMS LÄN</t>
        </is>
      </c>
      <c r="E173" t="inlineStr">
        <is>
          <t>SÖDERTÄLJE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20411-2022</t>
        </is>
      </c>
      <c r="B174" s="1" t="n">
        <v>44699</v>
      </c>
      <c r="C174" s="1" t="n">
        <v>45785</v>
      </c>
      <c r="D174" t="inlineStr">
        <is>
          <t>STOCKHOLMS LÄN</t>
        </is>
      </c>
      <c r="E174" t="inlineStr">
        <is>
          <t>SÖDERTÄLJE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23956-2022</t>
        </is>
      </c>
      <c r="B175" s="1" t="n">
        <v>44722</v>
      </c>
      <c r="C175" s="1" t="n">
        <v>45785</v>
      </c>
      <c r="D175" t="inlineStr">
        <is>
          <t>STOCKHOLMS LÄN</t>
        </is>
      </c>
      <c r="E175" t="inlineStr">
        <is>
          <t>SÖDERTÄLJE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24034-2022</t>
        </is>
      </c>
      <c r="B176" s="1" t="n">
        <v>44724</v>
      </c>
      <c r="C176" s="1" t="n">
        <v>45785</v>
      </c>
      <c r="D176" t="inlineStr">
        <is>
          <t>STOCKHOLMS LÄN</t>
        </is>
      </c>
      <c r="E176" t="inlineStr">
        <is>
          <t>SÖDERTÄLJE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26812-2022</t>
        </is>
      </c>
      <c r="B177" s="1" t="n">
        <v>44740</v>
      </c>
      <c r="C177" s="1" t="n">
        <v>45785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27970-2022</t>
        </is>
      </c>
      <c r="B178" s="1" t="n">
        <v>44744</v>
      </c>
      <c r="C178" s="1" t="n">
        <v>45785</v>
      </c>
      <c r="D178" t="inlineStr">
        <is>
          <t>STOCKHOLMS LÄN</t>
        </is>
      </c>
      <c r="E178" t="inlineStr">
        <is>
          <t>SÖDERTÄLJE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27969-2022</t>
        </is>
      </c>
      <c r="B179" s="1" t="n">
        <v>44744</v>
      </c>
      <c r="C179" s="1" t="n">
        <v>45785</v>
      </c>
      <c r="D179" t="inlineStr">
        <is>
          <t>STOCKHOLMS LÄN</t>
        </is>
      </c>
      <c r="E179" t="inlineStr">
        <is>
          <t>SÖDERTÄLJE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27971-2022</t>
        </is>
      </c>
      <c r="B180" s="1" t="n">
        <v>44744</v>
      </c>
      <c r="C180" s="1" t="n">
        <v>45785</v>
      </c>
      <c r="D180" t="inlineStr">
        <is>
          <t>STOCKHOLMS LÄN</t>
        </is>
      </c>
      <c r="E180" t="inlineStr">
        <is>
          <t>SÖDERTÄLJE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27972-2022</t>
        </is>
      </c>
      <c r="B181" s="1" t="n">
        <v>44744</v>
      </c>
      <c r="C181" s="1" t="n">
        <v>45785</v>
      </c>
      <c r="D181" t="inlineStr">
        <is>
          <t>STOCKHOLMS LÄN</t>
        </is>
      </c>
      <c r="E181" t="inlineStr">
        <is>
          <t>SÖDERTÄLJE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31428-2022</t>
        </is>
      </c>
      <c r="B182" s="1" t="n">
        <v>44774</v>
      </c>
      <c r="C182" s="1" t="n">
        <v>45785</v>
      </c>
      <c r="D182" t="inlineStr">
        <is>
          <t>STOCKHOLMS LÄN</t>
        </is>
      </c>
      <c r="E182" t="inlineStr">
        <is>
          <t>SÖDERTÄLJE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31429-2022</t>
        </is>
      </c>
      <c r="B183" s="1" t="n">
        <v>44774</v>
      </c>
      <c r="C183" s="1" t="n">
        <v>45785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33892-2022</t>
        </is>
      </c>
      <c r="B184" s="1" t="n">
        <v>44790</v>
      </c>
      <c r="C184" s="1" t="n">
        <v>45785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33902-2022</t>
        </is>
      </c>
      <c r="B185" s="1" t="n">
        <v>44790</v>
      </c>
      <c r="C185" s="1" t="n">
        <v>45785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35906-2022</t>
        </is>
      </c>
      <c r="B186" s="1" t="n">
        <v>44802</v>
      </c>
      <c r="C186" s="1" t="n">
        <v>45785</v>
      </c>
      <c r="D186" t="inlineStr">
        <is>
          <t>STOCKHOLMS LÄN</t>
        </is>
      </c>
      <c r="E186" t="inlineStr">
        <is>
          <t>SÖDERTÄLJE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35918-2022</t>
        </is>
      </c>
      <c r="B187" s="1" t="n">
        <v>44802</v>
      </c>
      <c r="C187" s="1" t="n">
        <v>45785</v>
      </c>
      <c r="D187" t="inlineStr">
        <is>
          <t>STOCKHOLMS LÄN</t>
        </is>
      </c>
      <c r="E187" t="inlineStr">
        <is>
          <t>SÖDERTÄLJE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35882-2022</t>
        </is>
      </c>
      <c r="B188" s="1" t="n">
        <v>44802</v>
      </c>
      <c r="C188" s="1" t="n">
        <v>45785</v>
      </c>
      <c r="D188" t="inlineStr">
        <is>
          <t>STOCKHOLMS LÄN</t>
        </is>
      </c>
      <c r="E188" t="inlineStr">
        <is>
          <t>SÖDERTÄLJE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35942-2022</t>
        </is>
      </c>
      <c r="B189" s="1" t="n">
        <v>44802</v>
      </c>
      <c r="C189" s="1" t="n">
        <v>45785</v>
      </c>
      <c r="D189" t="inlineStr">
        <is>
          <t>STOCKHOLMS LÄN</t>
        </is>
      </c>
      <c r="E189" t="inlineStr">
        <is>
          <t>SÖDERTÄLJE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36112-2022</t>
        </is>
      </c>
      <c r="B190" s="1" t="n">
        <v>44802</v>
      </c>
      <c r="C190" s="1" t="n">
        <v>45785</v>
      </c>
      <c r="D190" t="inlineStr">
        <is>
          <t>STOCKHOLMS LÄN</t>
        </is>
      </c>
      <c r="E190" t="inlineStr">
        <is>
          <t>SÖDERTÄLJE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36113-2022</t>
        </is>
      </c>
      <c r="B191" s="1" t="n">
        <v>44802</v>
      </c>
      <c r="C191" s="1" t="n">
        <v>45785</v>
      </c>
      <c r="D191" t="inlineStr">
        <is>
          <t>STOCKHOLMS LÄN</t>
        </is>
      </c>
      <c r="E191" t="inlineStr">
        <is>
          <t>SÖDERTÄLJE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37843-2022</t>
        </is>
      </c>
      <c r="B192" s="1" t="n">
        <v>44810</v>
      </c>
      <c r="C192" s="1" t="n">
        <v>45785</v>
      </c>
      <c r="D192" t="inlineStr">
        <is>
          <t>STOCKHOLMS LÄN</t>
        </is>
      </c>
      <c r="E192" t="inlineStr">
        <is>
          <t>SÖDERTÄLJE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37844-2022</t>
        </is>
      </c>
      <c r="B193" s="1" t="n">
        <v>44810</v>
      </c>
      <c r="C193" s="1" t="n">
        <v>45785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37842-2022</t>
        </is>
      </c>
      <c r="B194" s="1" t="n">
        <v>44810</v>
      </c>
      <c r="C194" s="1" t="n">
        <v>45785</v>
      </c>
      <c r="D194" t="inlineStr">
        <is>
          <t>STOCKHOLMS LÄN</t>
        </is>
      </c>
      <c r="E194" t="inlineStr">
        <is>
          <t>SÖDERTÄLJE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38079-2022</t>
        </is>
      </c>
      <c r="B195" s="1" t="n">
        <v>44811</v>
      </c>
      <c r="C195" s="1" t="n">
        <v>45785</v>
      </c>
      <c r="D195" t="inlineStr">
        <is>
          <t>STOCKHOLMS LÄN</t>
        </is>
      </c>
      <c r="E195" t="inlineStr">
        <is>
          <t>SÖDERTÄLJE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38250-2022</t>
        </is>
      </c>
      <c r="B196" s="1" t="n">
        <v>44812</v>
      </c>
      <c r="C196" s="1" t="n">
        <v>45785</v>
      </c>
      <c r="D196" t="inlineStr">
        <is>
          <t>STOCKHOLMS LÄN</t>
        </is>
      </c>
      <c r="E196" t="inlineStr">
        <is>
          <t>SÖDERTÄLJE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45785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45785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45785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45785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45785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45785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45785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45785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45785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45785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45785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45785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45785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45785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45785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45785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45785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45785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45785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45785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45785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45785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45785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45785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45785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45785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45785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45785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45785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45785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45785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45785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45785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45785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45785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45785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45785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45785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45785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45785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45785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45785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45785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45785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45785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45785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45785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45785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45785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45785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45785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45785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45785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45785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45785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45785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45785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45785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45785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45785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45785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45785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45785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45785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45785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45785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45785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45785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45785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45785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45785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45785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45785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45785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45785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45785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45785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45785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45785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45785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45785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45785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45785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45785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45785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45785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45785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45785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45785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45785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45785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45785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45785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45785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45785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45785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45785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45785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45785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45785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45785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45785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45785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45785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45785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45785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45785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45785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45785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45785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45785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45785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45785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45785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45785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45785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45785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45785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45785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45785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45785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45785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45785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45785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45785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45785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45785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45785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45785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45785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45785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45785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45785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45785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45785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45785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45785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45785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45785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45785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45785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45785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45785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45785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45785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45785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45785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45785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45785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45785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45785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45785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45785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45785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45785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45785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45785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45785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45785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45785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45785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45785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45785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45785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45785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45785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45785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45785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45785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45785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45785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45785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45785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45785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45785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45785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45785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45785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45785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45785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45785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45785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45785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16520-2025</t>
        </is>
      </c>
      <c r="B380" s="1" t="n">
        <v>45751</v>
      </c>
      <c r="C380" s="1" t="n">
        <v>45785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20091-2025</t>
        </is>
      </c>
      <c r="B381" s="1" t="n">
        <v>45771</v>
      </c>
      <c r="C381" s="1" t="n">
        <v>45785</v>
      </c>
      <c r="D381" t="inlineStr">
        <is>
          <t>STOCKHOLMS LÄN</t>
        </is>
      </c>
      <c r="E381" t="inlineStr">
        <is>
          <t>SÖDERTÄLJE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20587-2025</t>
        </is>
      </c>
      <c r="B382" s="1" t="n">
        <v>45775</v>
      </c>
      <c r="C382" s="1" t="n">
        <v>45785</v>
      </c>
      <c r="D382" t="inlineStr">
        <is>
          <t>STOCKHOLMS LÄN</t>
        </is>
      </c>
      <c r="E382" t="inlineStr">
        <is>
          <t>SÖDERTÄLJE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21726-2025</t>
        </is>
      </c>
      <c r="B383" s="1" t="n">
        <v>45783</v>
      </c>
      <c r="C383" s="1" t="n">
        <v>45785</v>
      </c>
      <c r="D383" t="inlineStr">
        <is>
          <t>STOCKHOLMS LÄN</t>
        </is>
      </c>
      <c r="E383" t="inlineStr">
        <is>
          <t>SÖDERTÄLJE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2025-05-08T17:42:40Z</dcterms:created>
  <dcterms:modified xmlns:dcterms="http://purl.org/dc/terms/" xmlns:xsi="http://www.w3.org/2001/XMLSchema-instance" xsi:type="dcterms:W3CDTF">2025-05-08T17:42:41Z</dcterms:modified>
</cp:coreProperties>
</file>