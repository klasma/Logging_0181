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45783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16535-2025</t>
        </is>
      </c>
      <c r="B24" s="1" t="n">
        <v>45751</v>
      </c>
      <c r="C24" s="1" t="n">
        <v>45783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HYPERLINK("https://klasma.github.io/Logging_010181/artfynd/A 16535-2025 artfynd.xlsx", "A 16535-2025")</f>
        <v/>
      </c>
      <c r="T24">
        <f>HYPERLINK("https://klasma.github.io/Logging_010181/kartor/A 16535-2025 karta.png", "A 16535-2025")</f>
        <v/>
      </c>
      <c r="V24">
        <f>HYPERLINK("https://klasma.github.io/Logging_010181/klagomål/A 16535-2025 FSC-klagomål.docx", "A 16535-2025")</f>
        <v/>
      </c>
      <c r="W24">
        <f>HYPERLINK("https://klasma.github.io/Logging_010181/klagomålsmail/A 16535-2025 FSC-klagomål mail.docx", "A 16535-2025")</f>
        <v/>
      </c>
      <c r="X24">
        <f>HYPERLINK("https://klasma.github.io/Logging_010181/tillsyn/A 16535-2025 tillsynsbegäran.docx", "A 16535-2025")</f>
        <v/>
      </c>
      <c r="Y24">
        <f>HYPERLINK("https://klasma.github.io/Logging_010181/tillsynsmail/A 16535-2025 tillsynsbegäran mail.docx", "A 16535-2025")</f>
        <v/>
      </c>
    </row>
    <row r="25" ht="15" customHeight="1">
      <c r="A25" t="inlineStr">
        <is>
          <t>A 27513-2019</t>
        </is>
      </c>
      <c r="B25" s="1" t="n">
        <v>43619</v>
      </c>
      <c r="C25" s="1" t="n">
        <v>45783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HYPERLINK("https://klasma.github.io/Logging_0181/artfynd/A 27513-2019 artfynd.xlsx", "A 27513-2019")</f>
        <v/>
      </c>
      <c r="T25">
        <f>HYPERLINK("https://klasma.github.io/Logging_0181/kartor/A 27513-2019 karta.png", "A 27513-2019")</f>
        <v/>
      </c>
      <c r="V25">
        <f>HYPERLINK("https://klasma.github.io/Logging_0181/klagomål/A 27513-2019 FSC-klagomål.docx", "A 27513-2019")</f>
        <v/>
      </c>
      <c r="W25">
        <f>HYPERLINK("https://klasma.github.io/Logging_0181/klagomålsmail/A 27513-2019 FSC-klagomål mail.docx", "A 27513-2019")</f>
        <v/>
      </c>
      <c r="X25">
        <f>HYPERLINK("https://klasma.github.io/Logging_0181/tillsyn/A 27513-2019 tillsynsbegäran.docx", "A 27513-2019")</f>
        <v/>
      </c>
      <c r="Y25">
        <f>HYPERLINK("https://klasma.github.io/Logging_0181/tillsynsmail/A 27513-2019 tillsynsbegäran mail.docx", "A 27513-2019")</f>
        <v/>
      </c>
    </row>
    <row r="26" ht="15" customHeight="1">
      <c r="A26" t="inlineStr">
        <is>
          <t>A 59643-2019</t>
        </is>
      </c>
      <c r="B26" s="1" t="n">
        <v>43776</v>
      </c>
      <c r="C26" s="1" t="n">
        <v>45783</v>
      </c>
      <c r="D26" t="inlineStr">
        <is>
          <t>STOCKHOLMS LÄN</t>
        </is>
      </c>
      <c r="E26" t="inlineStr">
        <is>
          <t>SÖDERTÄLJE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59643-2019 artfynd.xlsx", "A 59643-2019")</f>
        <v/>
      </c>
      <c r="T26">
        <f>HYPERLINK("https://klasma.github.io/Logging_0181/kartor/A 59643-2019 karta.png", "A 59643-2019")</f>
        <v/>
      </c>
      <c r="U26">
        <f>HYPERLINK("https://klasma.github.io/Logging_0181/knärot/A 59643-2019 karta knärot.png", "A 59643-2019")</f>
        <v/>
      </c>
      <c r="V26">
        <f>HYPERLINK("https://klasma.github.io/Logging_0181/klagomål/A 59643-2019 FSC-klagomål.docx", "A 59643-2019")</f>
        <v/>
      </c>
      <c r="W26">
        <f>HYPERLINK("https://klasma.github.io/Logging_0181/klagomålsmail/A 59643-2019 FSC-klagomål mail.docx", "A 59643-2019")</f>
        <v/>
      </c>
      <c r="X26">
        <f>HYPERLINK("https://klasma.github.io/Logging_0181/tillsyn/A 59643-2019 tillsynsbegäran.docx", "A 59643-2019")</f>
        <v/>
      </c>
      <c r="Y26">
        <f>HYPERLINK("https://klasma.github.io/Logging_0181/tillsynsmail/A 59643-2019 tillsynsbegäran mail.docx", "A 59643-2019")</f>
        <v/>
      </c>
    </row>
    <row r="27" ht="15" customHeight="1">
      <c r="A27" t="inlineStr">
        <is>
          <t>A 12832-2020</t>
        </is>
      </c>
      <c r="B27" s="1" t="n">
        <v>43899</v>
      </c>
      <c r="C27" s="1" t="n">
        <v>45783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Ängsskära</t>
        </is>
      </c>
      <c r="S27">
        <f>HYPERLINK("https://klasma.github.io/Logging_0181/artfynd/A 12832-2020 artfynd.xlsx", "A 12832-2020")</f>
        <v/>
      </c>
      <c r="T27">
        <f>HYPERLINK("https://klasma.github.io/Logging_0181/kartor/A 12832-2020 karta.png", "A 12832-2020")</f>
        <v/>
      </c>
      <c r="V27">
        <f>HYPERLINK("https://klasma.github.io/Logging_0181/klagomål/A 12832-2020 FSC-klagomål.docx", "A 12832-2020")</f>
        <v/>
      </c>
      <c r="W27">
        <f>HYPERLINK("https://klasma.github.io/Logging_0181/klagomålsmail/A 12832-2020 FSC-klagomål mail.docx", "A 12832-2020")</f>
        <v/>
      </c>
      <c r="X27">
        <f>HYPERLINK("https://klasma.github.io/Logging_0181/tillsyn/A 12832-2020 tillsynsbegäran.docx", "A 12832-2020")</f>
        <v/>
      </c>
      <c r="Y27">
        <f>HYPERLINK("https://klasma.github.io/Logging_0181/tillsynsmail/A 12832-2020 tillsynsbegäran mail.docx", "A 12832-2020")</f>
        <v/>
      </c>
    </row>
    <row r="28" ht="15" customHeight="1">
      <c r="A28" t="inlineStr">
        <is>
          <t>A 27757-2021</t>
        </is>
      </c>
      <c r="B28" s="1" t="n">
        <v>44354</v>
      </c>
      <c r="C28" s="1" t="n">
        <v>45783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HYPERLINK("https://klasma.github.io/Logging_0181/artfynd/A 27757-2021 artfynd.xlsx", "A 27757-2021")</f>
        <v/>
      </c>
      <c r="T28">
        <f>HYPERLINK("https://klasma.github.io/Logging_0181/kartor/A 27757-2021 karta.png", "A 27757-2021")</f>
        <v/>
      </c>
      <c r="V28">
        <f>HYPERLINK("https://klasma.github.io/Logging_0181/klagomål/A 27757-2021 FSC-klagomål.docx", "A 27757-2021")</f>
        <v/>
      </c>
      <c r="W28">
        <f>HYPERLINK("https://klasma.github.io/Logging_0181/klagomålsmail/A 27757-2021 FSC-klagomål mail.docx", "A 27757-2021")</f>
        <v/>
      </c>
      <c r="X28">
        <f>HYPERLINK("https://klasma.github.io/Logging_0181/tillsyn/A 27757-2021 tillsynsbegäran.docx", "A 27757-2021")</f>
        <v/>
      </c>
      <c r="Y28">
        <f>HYPERLINK("https://klasma.github.io/Logging_0181/tillsynsmail/A 27757-2021 tillsynsbegäran mail.docx", "A 27757-2021")</f>
        <v/>
      </c>
    </row>
    <row r="29" ht="15" customHeight="1">
      <c r="A29" t="inlineStr">
        <is>
          <t>A 37678-2021</t>
        </is>
      </c>
      <c r="B29" s="1" t="n">
        <v>44400</v>
      </c>
      <c r="C29" s="1" t="n">
        <v>45783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HYPERLINK("https://klasma.github.io/Logging_0181/artfynd/A 37678-2021 artfynd.xlsx", "A 37678-2021")</f>
        <v/>
      </c>
      <c r="T29">
        <f>HYPERLINK("https://klasma.github.io/Logging_0181/kartor/A 37678-2021 karta.png", "A 37678-2021")</f>
        <v/>
      </c>
      <c r="V29">
        <f>HYPERLINK("https://klasma.github.io/Logging_0181/klagomål/A 37678-2021 FSC-klagomål.docx", "A 37678-2021")</f>
        <v/>
      </c>
      <c r="W29">
        <f>HYPERLINK("https://klasma.github.io/Logging_0181/klagomålsmail/A 37678-2021 FSC-klagomål mail.docx", "A 37678-2021")</f>
        <v/>
      </c>
      <c r="X29">
        <f>HYPERLINK("https://klasma.github.io/Logging_0181/tillsyn/A 37678-2021 tillsynsbegäran.docx", "A 37678-2021")</f>
        <v/>
      </c>
      <c r="Y29">
        <f>HYPERLINK("https://klasma.github.io/Logging_0181/tillsynsmail/A 37678-2021 tillsynsbegäran mail.docx", "A 37678-2021")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45783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45783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38452-2022</t>
        </is>
      </c>
      <c r="B32" s="1" t="n">
        <v>44813</v>
      </c>
      <c r="C32" s="1" t="n">
        <v>45783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HYPERLINK("https://klasma.github.io/Logging_0181/artfynd/A 38452-2022 artfynd.xlsx", "A 38452-2022")</f>
        <v/>
      </c>
      <c r="T32">
        <f>HYPERLINK("https://klasma.github.io/Logging_0181/kartor/A 38452-2022 karta.png", "A 38452-2022")</f>
        <v/>
      </c>
      <c r="V32">
        <f>HYPERLINK("https://klasma.github.io/Logging_0181/klagomål/A 38452-2022 FSC-klagomål.docx", "A 38452-2022")</f>
        <v/>
      </c>
      <c r="W32">
        <f>HYPERLINK("https://klasma.github.io/Logging_0181/klagomålsmail/A 38452-2022 FSC-klagomål mail.docx", "A 38452-2022")</f>
        <v/>
      </c>
      <c r="X32">
        <f>HYPERLINK("https://klasma.github.io/Logging_0181/tillsyn/A 38452-2022 tillsynsbegäran.docx", "A 38452-2022")</f>
        <v/>
      </c>
      <c r="Y32">
        <f>HYPERLINK("https://klasma.github.io/Logging_0181/tillsynsmail/A 38452-2022 tillsynsbegäran mail.docx", "A 38452-2022")</f>
        <v/>
      </c>
    </row>
    <row r="33" ht="15" customHeight="1">
      <c r="A33" t="inlineStr">
        <is>
          <t>A 40816-2022</t>
        </is>
      </c>
      <c r="B33" s="1" t="n">
        <v>44824</v>
      </c>
      <c r="C33" s="1" t="n">
        <v>45783</v>
      </c>
      <c r="D33" t="inlineStr">
        <is>
          <t>STOCKHOLMS LÄN</t>
        </is>
      </c>
      <c r="E33" t="inlineStr">
        <is>
          <t>SÖDERTÄLJE</t>
        </is>
      </c>
      <c r="G33" t="n">
        <v>10.2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HYPERLINK("https://klasma.github.io/Logging_0181/artfynd/A 40816-2022 artfynd.xlsx", "A 40816-2022")</f>
        <v/>
      </c>
      <c r="T33">
        <f>HYPERLINK("https://klasma.github.io/Logging_0181/kartor/A 40816-2022 karta.png", "A 40816-2022")</f>
        <v/>
      </c>
      <c r="U33">
        <f>HYPERLINK("https://klasma.github.io/Logging_0181/knärot/A 40816-2022 karta knärot.png", "A 40816-2022")</f>
        <v/>
      </c>
      <c r="V33">
        <f>HYPERLINK("https://klasma.github.io/Logging_0181/klagomål/A 40816-2022 FSC-klagomål.docx", "A 40816-2022")</f>
        <v/>
      </c>
      <c r="W33">
        <f>HYPERLINK("https://klasma.github.io/Logging_0181/klagomålsmail/A 40816-2022 FSC-klagomål mail.docx", "A 40816-2022")</f>
        <v/>
      </c>
      <c r="X33">
        <f>HYPERLINK("https://klasma.github.io/Logging_0181/tillsyn/A 40816-2022 tillsynsbegäran.docx", "A 40816-2022")</f>
        <v/>
      </c>
      <c r="Y33">
        <f>HYPERLINK("https://klasma.github.io/Logging_0181/tillsynsmail/A 40816-2022 tillsynsbegäran mail.docx", "A 40816-2022")</f>
        <v/>
      </c>
    </row>
    <row r="34" ht="15" customHeight="1">
      <c r="A34" t="inlineStr">
        <is>
          <t>A 44958-2022</t>
        </is>
      </c>
      <c r="B34" s="1" t="n">
        <v>44841</v>
      </c>
      <c r="C34" s="1" t="n">
        <v>45783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HYPERLINK("https://klasma.github.io/Logging_0181/artfynd/A 44958-2022 artfynd.xlsx", "A 44958-2022")</f>
        <v/>
      </c>
      <c r="T34">
        <f>HYPERLINK("https://klasma.github.io/Logging_0181/kartor/A 44958-2022 karta.png", "A 44958-2022")</f>
        <v/>
      </c>
      <c r="V34">
        <f>HYPERLINK("https://klasma.github.io/Logging_0181/klagomål/A 44958-2022 FSC-klagomål.docx", "A 44958-2022")</f>
        <v/>
      </c>
      <c r="W34">
        <f>HYPERLINK("https://klasma.github.io/Logging_0181/klagomålsmail/A 44958-2022 FSC-klagomål mail.docx", "A 44958-2022")</f>
        <v/>
      </c>
      <c r="X34">
        <f>HYPERLINK("https://klasma.github.io/Logging_0181/tillsyn/A 44958-2022 tillsynsbegäran.docx", "A 44958-2022")</f>
        <v/>
      </c>
      <c r="Y34">
        <f>HYPERLINK("https://klasma.github.io/Logging_0181/tillsynsmail/A 44958-2022 tillsynsbegäran mail.docx", "A 44958-2022")</f>
        <v/>
      </c>
    </row>
    <row r="35" ht="15" customHeight="1">
      <c r="A35" t="inlineStr">
        <is>
          <t>A 13199-2023</t>
        </is>
      </c>
      <c r="B35" s="1" t="n">
        <v>45002</v>
      </c>
      <c r="C35" s="1" t="n">
        <v>45783</v>
      </c>
      <c r="D35" t="inlineStr">
        <is>
          <t>STOCKHOLMS LÄN</t>
        </is>
      </c>
      <c r="E35" t="inlineStr">
        <is>
          <t>SÖDERTÄLJE</t>
        </is>
      </c>
      <c r="G35" t="n">
        <v>7.2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HYPERLINK("https://klasma.github.io/Logging_0181/artfynd/A 13199-2023 artfynd.xlsx", "A 13199-2023")</f>
        <v/>
      </c>
      <c r="T35">
        <f>HYPERLINK("https://klasma.github.io/Logging_0181/kartor/A 13199-2023 karta.png", "A 13199-2023")</f>
        <v/>
      </c>
      <c r="V35">
        <f>HYPERLINK("https://klasma.github.io/Logging_0181/klagomål/A 13199-2023 FSC-klagomål.docx", "A 13199-2023")</f>
        <v/>
      </c>
      <c r="W35">
        <f>HYPERLINK("https://klasma.github.io/Logging_0181/klagomålsmail/A 13199-2023 FSC-klagomål mail.docx", "A 13199-2023")</f>
        <v/>
      </c>
      <c r="X35">
        <f>HYPERLINK("https://klasma.github.io/Logging_0181/tillsyn/A 13199-2023 tillsynsbegäran.docx", "A 13199-2023")</f>
        <v/>
      </c>
      <c r="Y35">
        <f>HYPERLINK("https://klasma.github.io/Logging_0181/tillsynsmail/A 13199-2023 tillsynsbegäran mail.docx", "A 13199-2023")</f>
        <v/>
      </c>
      <c r="Z35">
        <f>HYPERLINK("https://klasma.github.io/Logging_0181/fåglar/A 13199-2023 prioriterade fågelarter.docx", "A 13199-2023")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45783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45783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47711-2023</t>
        </is>
      </c>
      <c r="B38" s="1" t="n">
        <v>45198</v>
      </c>
      <c r="C38" s="1" t="n">
        <v>45783</v>
      </c>
      <c r="D38" t="inlineStr">
        <is>
          <t>STOCKHOLMS LÄN</t>
        </is>
      </c>
      <c r="E38" t="inlineStr">
        <is>
          <t>SÖDERTÄLJE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HYPERLINK("https://klasma.github.io/Logging_0181/artfynd/A 47711-2023 artfynd.xlsx", "A 47711-2023")</f>
        <v/>
      </c>
      <c r="T38">
        <f>HYPERLINK("https://klasma.github.io/Logging_0181/kartor/A 47711-2023 karta.png", "A 47711-2023")</f>
        <v/>
      </c>
      <c r="V38">
        <f>HYPERLINK("https://klasma.github.io/Logging_0181/klagomål/A 47711-2023 FSC-klagomål.docx", "A 47711-2023")</f>
        <v/>
      </c>
      <c r="W38">
        <f>HYPERLINK("https://klasma.github.io/Logging_0181/klagomålsmail/A 47711-2023 FSC-klagomål mail.docx", "A 47711-2023")</f>
        <v/>
      </c>
      <c r="X38">
        <f>HYPERLINK("https://klasma.github.io/Logging_0181/tillsyn/A 47711-2023 tillsynsbegäran.docx", "A 47711-2023")</f>
        <v/>
      </c>
      <c r="Y38">
        <f>HYPERLINK("https://klasma.github.io/Logging_0181/tillsynsmail/A 47711-2023 tillsynsbegäran mail.docx", "A 47711-2023")</f>
        <v/>
      </c>
    </row>
    <row r="39" ht="15" customHeight="1">
      <c r="A39" t="inlineStr">
        <is>
          <t>A 12968-2024</t>
        </is>
      </c>
      <c r="B39" s="1" t="n">
        <v>45385</v>
      </c>
      <c r="C39" s="1" t="n">
        <v>45783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HYPERLINK("https://klasma.github.io/Logging_0181/artfynd/A 12968-2024 artfynd.xlsx", "A 12968-2024")</f>
        <v/>
      </c>
      <c r="T39">
        <f>HYPERLINK("https://klasma.github.io/Logging_0181/kartor/A 12968-2024 karta.png", "A 12968-2024")</f>
        <v/>
      </c>
      <c r="V39">
        <f>HYPERLINK("https://klasma.github.io/Logging_0181/klagomål/A 12968-2024 FSC-klagomål.docx", "A 12968-2024")</f>
        <v/>
      </c>
      <c r="W39">
        <f>HYPERLINK("https://klasma.github.io/Logging_0181/klagomålsmail/A 12968-2024 FSC-klagomål mail.docx", "A 12968-2024")</f>
        <v/>
      </c>
      <c r="X39">
        <f>HYPERLINK("https://klasma.github.io/Logging_0181/tillsyn/A 12968-2024 tillsynsbegäran.docx", "A 12968-2024")</f>
        <v/>
      </c>
      <c r="Y39">
        <f>HYPERLINK("https://klasma.github.io/Logging_0181/tillsynsmail/A 12968-2024 tillsynsbegäran mail.docx", "A 12968-2024")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45783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31006-2024</t>
        </is>
      </c>
      <c r="B41" s="1" t="n">
        <v>45499</v>
      </c>
      <c r="C41" s="1" t="n">
        <v>45783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HYPERLINK("https://klasma.github.io/Logging_0181/artfynd/A 31006-2024 artfynd.xlsx", "A 31006-2024")</f>
        <v/>
      </c>
      <c r="T41">
        <f>HYPERLINK("https://klasma.github.io/Logging_0181/kartor/A 31006-2024 karta.png", "A 31006-2024")</f>
        <v/>
      </c>
      <c r="V41">
        <f>HYPERLINK("https://klasma.github.io/Logging_0181/klagomål/A 31006-2024 FSC-klagomål.docx", "A 31006-2024")</f>
        <v/>
      </c>
      <c r="W41">
        <f>HYPERLINK("https://klasma.github.io/Logging_0181/klagomålsmail/A 31006-2024 FSC-klagomål mail.docx", "A 31006-2024")</f>
        <v/>
      </c>
      <c r="X41">
        <f>HYPERLINK("https://klasma.github.io/Logging_0181/tillsyn/A 31006-2024 tillsynsbegäran.docx", "A 31006-2024")</f>
        <v/>
      </c>
      <c r="Y41">
        <f>HYPERLINK("https://klasma.github.io/Logging_0181/tillsynsmail/A 31006-2024 tillsynsbegäran mail.docx", "A 31006-2024")</f>
        <v/>
      </c>
    </row>
    <row r="42" ht="15" customHeight="1">
      <c r="A42" t="inlineStr">
        <is>
          <t>A 31371-2024</t>
        </is>
      </c>
      <c r="B42" s="1" t="n">
        <v>45505</v>
      </c>
      <c r="C42" s="1" t="n">
        <v>45783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Dofttaggsvamp</t>
        </is>
      </c>
      <c r="S42">
        <f>HYPERLINK("https://klasma.github.io/Logging_0181/artfynd/A 31371-2024 artfynd.xlsx", "A 31371-2024")</f>
        <v/>
      </c>
      <c r="T42">
        <f>HYPERLINK("https://klasma.github.io/Logging_0181/kartor/A 31371-2024 karta.png", "A 31371-2024")</f>
        <v/>
      </c>
      <c r="V42">
        <f>HYPERLINK("https://klasma.github.io/Logging_0181/klagomål/A 31371-2024 FSC-klagomål.docx", "A 31371-2024")</f>
        <v/>
      </c>
      <c r="W42">
        <f>HYPERLINK("https://klasma.github.io/Logging_0181/klagomålsmail/A 31371-2024 FSC-klagomål mail.docx", "A 31371-2024")</f>
        <v/>
      </c>
      <c r="X42">
        <f>HYPERLINK("https://klasma.github.io/Logging_0181/tillsyn/A 31371-2024 tillsynsbegäran.docx", "A 31371-2024")</f>
        <v/>
      </c>
      <c r="Y42">
        <f>HYPERLINK("https://klasma.github.io/Logging_0181/tillsynsmail/A 31371-2024 tillsynsbegäran mail.docx", "A 31371-2024")</f>
        <v/>
      </c>
    </row>
    <row r="43" ht="15" customHeight="1">
      <c r="A43" t="inlineStr">
        <is>
          <t>A 35013-2024</t>
        </is>
      </c>
      <c r="B43" s="1" t="n">
        <v>45527</v>
      </c>
      <c r="C43" s="1" t="n">
        <v>45783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5.8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 fjädermossa</t>
        </is>
      </c>
      <c r="S43">
        <f>HYPERLINK("https://klasma.github.io/Logging_0181/artfynd/A 35013-2024 artfynd.xlsx", "A 35013-2024")</f>
        <v/>
      </c>
      <c r="T43">
        <f>HYPERLINK("https://klasma.github.io/Logging_0181/kartor/A 35013-2024 karta.png", "A 35013-2024")</f>
        <v/>
      </c>
      <c r="V43">
        <f>HYPERLINK("https://klasma.github.io/Logging_0181/klagomål/A 35013-2024 FSC-klagomål.docx", "A 35013-2024")</f>
        <v/>
      </c>
      <c r="W43">
        <f>HYPERLINK("https://klasma.github.io/Logging_0181/klagomålsmail/A 35013-2024 FSC-klagomål mail.docx", "A 35013-2024")</f>
        <v/>
      </c>
      <c r="X43">
        <f>HYPERLINK("https://klasma.github.io/Logging_0181/tillsyn/A 35013-2024 tillsynsbegäran.docx", "A 35013-2024")</f>
        <v/>
      </c>
      <c r="Y43">
        <f>HYPERLINK("https://klasma.github.io/Logging_0181/tillsynsmail/A 35013-2024 tillsynsbegäran mail.docx", "A 35013-2024")</f>
        <v/>
      </c>
    </row>
    <row r="44" ht="15" customHeight="1">
      <c r="A44" t="inlineStr">
        <is>
          <t>A 37529-2024</t>
        </is>
      </c>
      <c r="B44" s="1" t="n">
        <v>45541</v>
      </c>
      <c r="C44" s="1" t="n">
        <v>45783</v>
      </c>
      <c r="D44" t="inlineStr">
        <is>
          <t>STOCKHOLMS LÄN</t>
        </is>
      </c>
      <c r="E44" t="inlineStr">
        <is>
          <t>SÖDERTÄLJE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HYPERLINK("https://klasma.github.io/Logging_0181/artfynd/A 37529-2024 artfynd.xlsx", "A 37529-2024")</f>
        <v/>
      </c>
      <c r="T44">
        <f>HYPERLINK("https://klasma.github.io/Logging_0181/kartor/A 37529-2024 karta.png", "A 37529-2024")</f>
        <v/>
      </c>
      <c r="V44">
        <f>HYPERLINK("https://klasma.github.io/Logging_0181/klagomål/A 37529-2024 FSC-klagomål.docx", "A 37529-2024")</f>
        <v/>
      </c>
      <c r="W44">
        <f>HYPERLINK("https://klasma.github.io/Logging_0181/klagomålsmail/A 37529-2024 FSC-klagomål mail.docx", "A 37529-2024")</f>
        <v/>
      </c>
      <c r="X44">
        <f>HYPERLINK("https://klasma.github.io/Logging_0181/tillsyn/A 37529-2024 tillsynsbegäran.docx", "A 37529-2024")</f>
        <v/>
      </c>
      <c r="Y44">
        <f>HYPERLINK("https://klasma.github.io/Logging_0181/tillsynsmail/A 37529-2024 tillsynsbegäran mail.docx", "A 37529-2024")</f>
        <v/>
      </c>
    </row>
    <row r="45" ht="15" customHeight="1">
      <c r="A45" t="inlineStr">
        <is>
          <t>A 37574-2024</t>
        </is>
      </c>
      <c r="B45" s="1" t="n">
        <v>45541</v>
      </c>
      <c r="C45" s="1" t="n">
        <v>45783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HYPERLINK("https://klasma.github.io/Logging_0181/artfynd/A 37574-2024 artfynd.xlsx", "A 37574-2024")</f>
        <v/>
      </c>
      <c r="T45">
        <f>HYPERLINK("https://klasma.github.io/Logging_0181/kartor/A 37574-2024 karta.png", "A 37574-2024")</f>
        <v/>
      </c>
      <c r="V45">
        <f>HYPERLINK("https://klasma.github.io/Logging_0181/klagomål/A 37574-2024 FSC-klagomål.docx", "A 37574-2024")</f>
        <v/>
      </c>
      <c r="W45">
        <f>HYPERLINK("https://klasma.github.io/Logging_0181/klagomålsmail/A 37574-2024 FSC-klagomål mail.docx", "A 37574-2024")</f>
        <v/>
      </c>
      <c r="X45">
        <f>HYPERLINK("https://klasma.github.io/Logging_0181/tillsyn/A 37574-2024 tillsynsbegäran.docx", "A 37574-2024")</f>
        <v/>
      </c>
      <c r="Y45">
        <f>HYPERLINK("https://klasma.github.io/Logging_0181/tillsynsmail/A 37574-2024 tillsynsbegäran mail.docx", "A 37574-2024")</f>
        <v/>
      </c>
    </row>
    <row r="46" ht="15" customHeight="1">
      <c r="A46" t="inlineStr">
        <is>
          <t>A 40986-2024</t>
        </is>
      </c>
      <c r="B46" s="1" t="n">
        <v>45558</v>
      </c>
      <c r="C46" s="1" t="n">
        <v>45783</v>
      </c>
      <c r="D46" t="inlineStr">
        <is>
          <t>STOCKHOLMS LÄN</t>
        </is>
      </c>
      <c r="E46" t="inlineStr">
        <is>
          <t>SÖDERTÄLJE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Vit kattost</t>
        </is>
      </c>
      <c r="S46">
        <f>HYPERLINK("https://klasma.github.io/Logging_0181/artfynd/A 40986-2024 artfynd.xlsx", "A 40986-2024")</f>
        <v/>
      </c>
      <c r="T46">
        <f>HYPERLINK("https://klasma.github.io/Logging_0181/kartor/A 40986-2024 karta.png", "A 40986-2024")</f>
        <v/>
      </c>
      <c r="V46">
        <f>HYPERLINK("https://klasma.github.io/Logging_0181/klagomål/A 40986-2024 FSC-klagomål.docx", "A 40986-2024")</f>
        <v/>
      </c>
      <c r="W46">
        <f>HYPERLINK("https://klasma.github.io/Logging_0181/klagomålsmail/A 40986-2024 FSC-klagomål mail.docx", "A 40986-2024")</f>
        <v/>
      </c>
      <c r="X46">
        <f>HYPERLINK("https://klasma.github.io/Logging_0181/tillsyn/A 40986-2024 tillsynsbegäran.docx", "A 40986-2024")</f>
        <v/>
      </c>
      <c r="Y46">
        <f>HYPERLINK("https://klasma.github.io/Logging_0181/tillsynsmail/A 40986-2024 tillsynsbegäran mail.docx", "A 40986-2024")</f>
        <v/>
      </c>
    </row>
    <row r="47" ht="15" customHeight="1">
      <c r="A47" t="inlineStr">
        <is>
          <t>A 51019-2024</t>
        </is>
      </c>
      <c r="B47" s="1" t="n">
        <v>45603</v>
      </c>
      <c r="C47" s="1" t="n">
        <v>45783</v>
      </c>
      <c r="D47" t="inlineStr">
        <is>
          <t>STOCKHOLMS LÄN</t>
        </is>
      </c>
      <c r="E47" t="inlineStr">
        <is>
          <t>SÖDERTÄLJE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HYPERLINK("https://klasma.github.io/Logging_0181/artfynd/A 51019-2024 artfynd.xlsx", "A 51019-2024")</f>
        <v/>
      </c>
      <c r="T47">
        <f>HYPERLINK("https://klasma.github.io/Logging_0181/kartor/A 51019-2024 karta.png", "A 51019-2024")</f>
        <v/>
      </c>
      <c r="V47">
        <f>HYPERLINK("https://klasma.github.io/Logging_0181/klagomål/A 51019-2024 FSC-klagomål.docx", "A 51019-2024")</f>
        <v/>
      </c>
      <c r="W47">
        <f>HYPERLINK("https://klasma.github.io/Logging_0181/klagomålsmail/A 51019-2024 FSC-klagomål mail.docx", "A 51019-2024")</f>
        <v/>
      </c>
      <c r="X47">
        <f>HYPERLINK("https://klasma.github.io/Logging_0181/tillsyn/A 51019-2024 tillsynsbegäran.docx", "A 51019-2024")</f>
        <v/>
      </c>
      <c r="Y47">
        <f>HYPERLINK("https://klasma.github.io/Logging_0181/tillsynsmail/A 51019-2024 tillsynsbegäran mail.docx", "A 51019-2024")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45783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45783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45783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45783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45783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45783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45783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45783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45783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45783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45783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45783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45783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45783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45783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45783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45783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45783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45783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45783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45783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45783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45783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45783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45783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45783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45783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45783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45783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45783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45783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45783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45783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45783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45783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45783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45783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45783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45783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45783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45783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45783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45783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45783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45783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45783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45783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45783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45783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45783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45783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45783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45783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45783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45783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45783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45783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45783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45783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45783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45783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45783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45783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45783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45783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45783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45783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45783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45783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45783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45783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45783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45783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45783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45783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45783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45783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45783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45783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45783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45783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45783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45783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45783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45783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45783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45783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45783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45783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45783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45783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45783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45783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45783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45783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45783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45783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45783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45783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45783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45783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45783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45783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45783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45783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45783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45783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45783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45783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45783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45783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45783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45783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45783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45783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45783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45783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45783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45783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45783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45783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45783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45783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45783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45783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45783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45783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45783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45783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45783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45783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45783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45783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45783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45783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45783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45783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45783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45783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45783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45783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45783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45783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45783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45783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45783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45783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45783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45783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45783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45783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45783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45783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45783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45783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45783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45783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45783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45783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45783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45783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45783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45783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45783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45783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45783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45783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45783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45783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45783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45783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45783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45783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45783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45783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45783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45783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45783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45783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45783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45783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45783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45783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45783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45783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45783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45783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45783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45783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45783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45783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45783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45783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45783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45783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45783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45783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45783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45783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45783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45783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45783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45783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45783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45783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45783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45783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45783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45783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45783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45783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45783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45783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45783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45783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45783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45783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45783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45783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45783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45783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45783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45783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45783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45783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45783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45783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45783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45783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45783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45783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45783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45783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45783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45783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45783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45783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45783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45783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45783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45783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45783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45783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45783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45783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45783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45783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45783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45783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45783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45783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45783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45783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45783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45783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45783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45783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45783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45783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45783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45783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45783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45783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45783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45783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45783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45783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45783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45783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45783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45783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45783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45783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45783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45783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45783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45783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45783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45783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45783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20587-2025</t>
        </is>
      </c>
      <c r="B382" s="1" t="n">
        <v>45775</v>
      </c>
      <c r="C382" s="1" t="n">
        <v>45783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2025-05-06T17:21:46Z</dcterms:created>
  <dcterms:modified xmlns:dcterms="http://purl.org/dc/terms/" xmlns:xsi="http://www.w3.org/2001/XMLSchema-instance" xsi:type="dcterms:W3CDTF">2025-05-06T17:21:46Z</dcterms:modified>
</cp:coreProperties>
</file>