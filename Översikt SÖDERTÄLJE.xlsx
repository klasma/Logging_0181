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45803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45803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45803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45803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45803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45803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45803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45803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45803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45803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45803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45803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45803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45803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45803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14153-2025</t>
        </is>
      </c>
      <c r="B17" s="1" t="n">
        <v>45740</v>
      </c>
      <c r="C17" s="1" t="n">
        <v>45803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9.4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Reliktbock
Dropptaggsvamp
Kungsfågel</t>
        </is>
      </c>
      <c r="S17">
        <f>HYPERLINK("https://klasma.github.io/Logging_010181/artfynd/A 14153-2025 artfynd.xlsx", "A 14153-2025")</f>
        <v/>
      </c>
      <c r="T17">
        <f>HYPERLINK("https://klasma.github.io/Logging_010181/kartor/A 14153-2025 karta.png", "A 14153-2025")</f>
        <v/>
      </c>
      <c r="V17">
        <f>HYPERLINK("https://klasma.github.io/Logging_010181/klagomål/A 14153-2025 FSC-klagomål.docx", "A 14153-2025")</f>
        <v/>
      </c>
      <c r="W17">
        <f>HYPERLINK("https://klasma.github.io/Logging_010181/klagomålsmail/A 14153-2025 FSC-klagomål mail.docx", "A 14153-2025")</f>
        <v/>
      </c>
      <c r="X17">
        <f>HYPERLINK("https://klasma.github.io/Logging_010181/tillsyn/A 14153-2025 tillsynsbegäran.docx", "A 14153-2025")</f>
        <v/>
      </c>
      <c r="Y17">
        <f>HYPERLINK("https://klasma.github.io/Logging_010181/tillsynsmail/A 14153-2025 tillsynsbegäran mail.docx", "A 14153-2025")</f>
        <v/>
      </c>
      <c r="Z17">
        <f>HYPERLINK("https://klasma.github.io/Logging_010181/fåglar/A 14153-2025 prioriterade fågelarter.docx", "A 14153-2025")</f>
        <v/>
      </c>
    </row>
    <row r="18" ht="15" customHeight="1">
      <c r="A18" t="inlineStr">
        <is>
          <t>A 46237-2020</t>
        </is>
      </c>
      <c r="B18" s="1" t="n">
        <v>44092</v>
      </c>
      <c r="C18" s="1" t="n">
        <v>45803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Rödbrun jordstjärna</t>
        </is>
      </c>
      <c r="S18">
        <f>HYPERLINK("https://klasma.github.io/Logging_0181/artfynd/A 46237-2020 artfynd.xlsx", "A 46237-2020")</f>
        <v/>
      </c>
      <c r="T18">
        <f>HYPERLINK("https://klasma.github.io/Logging_0181/kartor/A 46237-2020 karta.png", "A 46237-2020")</f>
        <v/>
      </c>
      <c r="U18">
        <f>HYPERLINK("https://klasma.github.io/Logging_0181/knärot/A 46237-2020 karta knärot.png", "A 46237-2020")</f>
        <v/>
      </c>
      <c r="V18">
        <f>HYPERLINK("https://klasma.github.io/Logging_0181/klagomål/A 46237-2020 FSC-klagomål.docx", "A 46237-2020")</f>
        <v/>
      </c>
      <c r="W18">
        <f>HYPERLINK("https://klasma.github.io/Logging_0181/klagomålsmail/A 46237-2020 FSC-klagomål mail.docx", "A 46237-2020")</f>
        <v/>
      </c>
      <c r="X18">
        <f>HYPERLINK("https://klasma.github.io/Logging_0181/tillsyn/A 46237-2020 tillsynsbegäran.docx", "A 46237-2020")</f>
        <v/>
      </c>
      <c r="Y18">
        <f>HYPERLINK("https://klasma.github.io/Logging_0181/tillsynsmail/A 46237-2020 tillsynsbegäran mail.docx", "A 46237-2020")</f>
        <v/>
      </c>
    </row>
    <row r="19" ht="15" customHeight="1">
      <c r="A19" t="inlineStr">
        <is>
          <t>A 17648-2021</t>
        </is>
      </c>
      <c r="B19" s="1" t="n">
        <v>44300</v>
      </c>
      <c r="C19" s="1" t="n">
        <v>45803</v>
      </c>
      <c r="D19" t="inlineStr">
        <is>
          <t>STOCKHOLMS LÄN</t>
        </is>
      </c>
      <c r="E19" t="inlineStr">
        <is>
          <t>SÖDERTÄLJE</t>
        </is>
      </c>
      <c r="G19" t="n">
        <v>11.8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Hedpärlemorfjäril
Sexfläckig bastardsvärmare</t>
        </is>
      </c>
      <c r="S19">
        <f>HYPERLINK("https://klasma.github.io/Logging_0181/artfynd/A 17648-2021 artfynd.xlsx", "A 17648-2021")</f>
        <v/>
      </c>
      <c r="T19">
        <f>HYPERLINK("https://klasma.github.io/Logging_0181/kartor/A 17648-2021 karta.png", "A 17648-2021")</f>
        <v/>
      </c>
      <c r="V19">
        <f>HYPERLINK("https://klasma.github.io/Logging_0181/klagomål/A 17648-2021 FSC-klagomål.docx", "A 17648-2021")</f>
        <v/>
      </c>
      <c r="W19">
        <f>HYPERLINK("https://klasma.github.io/Logging_0181/klagomålsmail/A 17648-2021 FSC-klagomål mail.docx", "A 17648-2021")</f>
        <v/>
      </c>
      <c r="X19">
        <f>HYPERLINK("https://klasma.github.io/Logging_0181/tillsyn/A 17648-2021 tillsynsbegäran.docx", "A 17648-2021")</f>
        <v/>
      </c>
      <c r="Y19">
        <f>HYPERLINK("https://klasma.github.io/Logging_0181/tillsynsmail/A 17648-2021 tillsynsbegäran mail.docx", "A 17648-2021")</f>
        <v/>
      </c>
    </row>
    <row r="20" ht="15" customHeight="1">
      <c r="A20" t="inlineStr">
        <is>
          <t>A 44954-2022</t>
        </is>
      </c>
      <c r="B20" s="1" t="n">
        <v>44841</v>
      </c>
      <c r="C20" s="1" t="n">
        <v>45803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Tjäder</t>
        </is>
      </c>
      <c r="S20">
        <f>HYPERLINK("https://klasma.github.io/Logging_0181/artfynd/A 44954-2022 artfynd.xlsx", "A 44954-2022")</f>
        <v/>
      </c>
      <c r="T20">
        <f>HYPERLINK("https://klasma.github.io/Logging_0181/kartor/A 44954-2022 karta.png", "A 44954-2022")</f>
        <v/>
      </c>
      <c r="V20">
        <f>HYPERLINK("https://klasma.github.io/Logging_0181/klagomål/A 44954-2022 FSC-klagomål.docx", "A 44954-2022")</f>
        <v/>
      </c>
      <c r="W20">
        <f>HYPERLINK("https://klasma.github.io/Logging_0181/klagomålsmail/A 44954-2022 FSC-klagomål mail.docx", "A 44954-2022")</f>
        <v/>
      </c>
      <c r="X20">
        <f>HYPERLINK("https://klasma.github.io/Logging_0181/tillsyn/A 44954-2022 tillsynsbegäran.docx", "A 44954-2022")</f>
        <v/>
      </c>
      <c r="Y20">
        <f>HYPERLINK("https://klasma.github.io/Logging_0181/tillsynsmail/A 44954-2022 tillsynsbegäran mail.docx", "A 44954-2022")</f>
        <v/>
      </c>
      <c r="Z20">
        <f>HYPERLINK("https://klasma.github.io/Logging_0181/fåglar/A 44954-2022 prioriterade fågelarter.docx", "A 44954-2022")</f>
        <v/>
      </c>
    </row>
    <row r="21" ht="15" customHeight="1">
      <c r="A21" t="inlineStr">
        <is>
          <t>A 52046-2022</t>
        </is>
      </c>
      <c r="B21" s="1" t="n">
        <v>44868</v>
      </c>
      <c r="C21" s="1" t="n">
        <v>45803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Tjockfotad fingersvamp
Nattviol</t>
        </is>
      </c>
      <c r="S21">
        <f>HYPERLINK("https://klasma.github.io/Logging_0181/artfynd/A 52046-2022 artfynd.xlsx", "A 52046-2022")</f>
        <v/>
      </c>
      <c r="T21">
        <f>HYPERLINK("https://klasma.github.io/Logging_0181/kartor/A 52046-2022 karta.png", "A 52046-2022")</f>
        <v/>
      </c>
      <c r="V21">
        <f>HYPERLINK("https://klasma.github.io/Logging_0181/klagomål/A 52046-2022 FSC-klagomål.docx", "A 52046-2022")</f>
        <v/>
      </c>
      <c r="W21">
        <f>HYPERLINK("https://klasma.github.io/Logging_0181/klagomålsmail/A 52046-2022 FSC-klagomål mail.docx", "A 52046-2022")</f>
        <v/>
      </c>
      <c r="X21">
        <f>HYPERLINK("https://klasma.github.io/Logging_0181/tillsyn/A 52046-2022 tillsynsbegäran.docx", "A 52046-2022")</f>
        <v/>
      </c>
      <c r="Y21">
        <f>HYPERLINK("https://klasma.github.io/Logging_0181/tillsynsmail/A 52046-2022 tillsynsbegäran mail.docx", "A 52046-2022")</f>
        <v/>
      </c>
    </row>
    <row r="22" ht="15" customHeight="1">
      <c r="A22" t="inlineStr">
        <is>
          <t>A 35937-2023</t>
        </is>
      </c>
      <c r="B22" s="1" t="n">
        <v>45148</v>
      </c>
      <c r="C22" s="1" t="n">
        <v>45803</v>
      </c>
      <c r="D22" t="inlineStr">
        <is>
          <t>STOCKHOLMS LÄN</t>
        </is>
      </c>
      <c r="E22" t="inlineStr">
        <is>
          <t>SÖDERTÄLJE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HYPERLINK("https://klasma.github.io/Logging_0181/artfynd/A 35937-2023 artfynd.xlsx", "A 35937-2023")</f>
        <v/>
      </c>
      <c r="T22">
        <f>HYPERLINK("https://klasma.github.io/Logging_0181/kartor/A 35937-2023 karta.png", "A 35937-2023")</f>
        <v/>
      </c>
      <c r="V22">
        <f>HYPERLINK("https://klasma.github.io/Logging_0181/klagomål/A 35937-2023 FSC-klagomål.docx", "A 35937-2023")</f>
        <v/>
      </c>
      <c r="W22">
        <f>HYPERLINK("https://klasma.github.io/Logging_0181/klagomålsmail/A 35937-2023 FSC-klagomål mail.docx", "A 35937-2023")</f>
        <v/>
      </c>
      <c r="X22">
        <f>HYPERLINK("https://klasma.github.io/Logging_0181/tillsyn/A 35937-2023 tillsynsbegäran.docx", "A 35937-2023")</f>
        <v/>
      </c>
      <c r="Y22">
        <f>HYPERLINK("https://klasma.github.io/Logging_0181/tillsynsmail/A 35937-2023 tillsynsbegäran mail.docx", "A 35937-2023")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45803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47711-2023</t>
        </is>
      </c>
      <c r="B24" s="1" t="n">
        <v>45198</v>
      </c>
      <c r="C24" s="1" t="n">
        <v>45803</v>
      </c>
      <c r="D24" t="inlineStr">
        <is>
          <t>STOCKHOLMS LÄN</t>
        </is>
      </c>
      <c r="E24" t="inlineStr">
        <is>
          <t>SÖDERTÄLJE</t>
        </is>
      </c>
      <c r="G24" t="n">
        <v>4.4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Jättesvampmal
Blåsippa</t>
        </is>
      </c>
      <c r="S24">
        <f>HYPERLINK("https://klasma.github.io/Logging_0181/artfynd/A 47711-2023 artfynd.xlsx", "A 47711-2023")</f>
        <v/>
      </c>
      <c r="T24">
        <f>HYPERLINK("https://klasma.github.io/Logging_0181/kartor/A 47711-2023 karta.png", "A 47711-2023")</f>
        <v/>
      </c>
      <c r="V24">
        <f>HYPERLINK("https://klasma.github.io/Logging_0181/klagomål/A 47711-2023 FSC-klagomål.docx", "A 47711-2023")</f>
        <v/>
      </c>
      <c r="W24">
        <f>HYPERLINK("https://klasma.github.io/Logging_0181/klagomålsmail/A 47711-2023 FSC-klagomål mail.docx", "A 47711-2023")</f>
        <v/>
      </c>
      <c r="X24">
        <f>HYPERLINK("https://klasma.github.io/Logging_0181/tillsyn/A 47711-2023 tillsynsbegäran.docx", "A 47711-2023")</f>
        <v/>
      </c>
      <c r="Y24">
        <f>HYPERLINK("https://klasma.github.io/Logging_0181/tillsynsmail/A 47711-2023 tillsynsbegäran mail.docx", "A 47711-2023")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45803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45803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45803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45803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45803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45803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45803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45803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45803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45803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45803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45803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45803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45803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45803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45803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45803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45803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45803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45803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45803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45803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45803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45803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45803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45803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45803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45803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45803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45803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45803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45803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45803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45803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45803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45803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45803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45803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45803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45803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45803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45803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45803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45803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45803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45803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45803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45803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45803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45803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45803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45803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45803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45803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45803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45803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45803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45803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45803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45803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45803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45803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45803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45803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45803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45803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45803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45803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45803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45803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45803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45803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45803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45803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45803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45803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45803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45803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45803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45803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45803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45803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45803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45803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45803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45803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45803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45803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45803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45803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45803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45803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45803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45803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45803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45803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45803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45803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45803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45803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45803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45803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45803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45803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45803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45803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45803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45803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45803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45803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45803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45803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45803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45803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45803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45803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45803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45803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45803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45803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45803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45803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45803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45803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45803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45803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45803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45803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45803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45803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45803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45803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45803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45803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45803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45803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45803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45803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45803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45803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45803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45803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45803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45803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45803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45803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45803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45803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45803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45803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45803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45803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45803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45803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45803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45803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45803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45803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45803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45803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45803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45803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45803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45803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45803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45803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45803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45803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45803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45803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45803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45803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45803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45803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45803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45803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45803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45803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45803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45803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45803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45803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45803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45803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45803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45803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45803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45803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45803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45803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45803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45803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45803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45803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45803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45803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45803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45803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45803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45803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45803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45803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45803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45803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45803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45803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45803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45803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45803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45803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45803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45803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45803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45803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45803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45803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45803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45803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45803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45803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45803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45803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45803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45803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45803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45803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45803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45803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45803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45803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45803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45803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45803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45803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45803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45803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45803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45803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45803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45803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45803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45803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45803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45803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45803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45803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45803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45803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45803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45803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45803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45803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45803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45803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45803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45803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45803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45803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45803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45803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45803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45803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45803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45803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45803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45803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45803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45803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45803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45803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45803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45803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45803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45803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45803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45803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45803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45803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45803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45803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45803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45803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45803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45803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45803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45803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45803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45803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45803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45803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45803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45803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45803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45803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45803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45803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45803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45803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45803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45803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45803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45803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45803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45803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45803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45803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45803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45803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45803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45803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45803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45803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45803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45803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45803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45803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45803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45803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45803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45803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45803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45803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45803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45803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45803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45803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45803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45803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45803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45803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45803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45803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45803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45803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45803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45803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45803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45803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45803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45803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45803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45803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45803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45803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45803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45803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45803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45803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45803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45803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45803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45803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45803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45803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45803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45803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45803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45803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45803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45803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22748-2025</t>
        </is>
      </c>
      <c r="B385" s="1" t="n">
        <v>45789</v>
      </c>
      <c r="C385" s="1" t="n">
        <v>45803</v>
      </c>
      <c r="D385" t="inlineStr">
        <is>
          <t>STOCKHOLMS LÄN</t>
        </is>
      </c>
      <c r="E385" t="inlineStr">
        <is>
          <t>SÖDERTÄLJE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25412-2025</t>
        </is>
      </c>
      <c r="B386" s="1" t="n">
        <v>45799</v>
      </c>
      <c r="C386" s="1" t="n">
        <v>45803</v>
      </c>
      <c r="D386" t="inlineStr">
        <is>
          <t>STOCKHOLMS LÄN</t>
        </is>
      </c>
      <c r="E386" t="inlineStr">
        <is>
          <t>SÖDERTÄLJE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45803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25396-2025</t>
        </is>
      </c>
      <c r="B388" s="1" t="n">
        <v>45799</v>
      </c>
      <c r="C388" s="1" t="n">
        <v>45803</v>
      </c>
      <c r="D388" t="inlineStr">
        <is>
          <t>STOCKHOLMS LÄN</t>
        </is>
      </c>
      <c r="E388" t="inlineStr">
        <is>
          <t>SÖDERTÄLJE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2025-05-26T17:32:29Z</dcterms:created>
  <dcterms:modified xmlns:dcterms="http://purl.org/dc/terms/" xmlns:xsi="http://www.w3.org/2001/XMLSchema-instance" xsi:type="dcterms:W3CDTF">2025-05-26T17:32:29Z</dcterms:modified>
</cp:coreProperties>
</file>