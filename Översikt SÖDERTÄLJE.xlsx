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46234</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46234</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46234</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46234</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46234</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46234</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46234</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46234</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46234</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46234</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46234</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46234</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46234</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46234</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46234</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46234</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46234</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46234</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46234</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46234</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46234</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48341-2025</t>
        </is>
      </c>
      <c r="B23" t="inlineStr">
        <is>
          <t>avverkningsanmälan</t>
        </is>
      </c>
      <c r="C23" t="inlineStr">
        <is>
          <t>Föryngringsavverkning</t>
        </is>
      </c>
      <c r="D23" s="1" t="n">
        <v>45933</v>
      </c>
      <c r="E23" s="1" t="n">
        <v>46234</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27971-2022</t>
        </is>
      </c>
      <c r="B24" t="inlineStr">
        <is>
          <t>avverkningsanmälan</t>
        </is>
      </c>
      <c r="C24" t="inlineStr">
        <is>
          <t>Föryngringsavverkning</t>
        </is>
      </c>
      <c r="D24" s="1" t="n">
        <v>44744</v>
      </c>
      <c r="E24" s="1" t="n">
        <v>46234</v>
      </c>
      <c r="F24" t="inlineStr">
        <is>
          <t>STOCKHOLMS LÄN</t>
        </is>
      </c>
      <c r="G24" t="inlineStr">
        <is>
          <t>SÖDERTÄLJE</t>
        </is>
      </c>
      <c r="I24" t="n">
        <v>1.4</v>
      </c>
      <c r="J24" t="n">
        <v>0</v>
      </c>
      <c r="K24" t="n">
        <v>2</v>
      </c>
      <c r="L24" t="n">
        <v>3</v>
      </c>
      <c r="M24" t="n">
        <v>0</v>
      </c>
      <c r="N24" t="n">
        <v>0</v>
      </c>
      <c r="O24" t="n">
        <v>0</v>
      </c>
      <c r="P24" t="n">
        <v>0</v>
      </c>
      <c r="Q24" t="n">
        <v>3</v>
      </c>
      <c r="R24" t="n">
        <v>0</v>
      </c>
      <c r="S24" t="n">
        <v>5</v>
      </c>
      <c r="T24" t="n">
        <v>8</v>
      </c>
      <c r="U24" t="n">
        <v>8</v>
      </c>
      <c r="V24" s="2" t="inlineStr">
        <is>
          <t>Dropptaggsvamp
Svartvit taggsvamp
Tallticka
Blåmossa
Grovticka</t>
        </is>
      </c>
      <c r="W24">
        <f>HYPERLINK("https://klasma.github.io/Logging_0181/artfynd/A 27971-2022 artfynd.xlsx", "A 27971-2022")</f>
        <v/>
      </c>
      <c r="X24">
        <f>HYPERLINK("https://klasma.github.io/Logging_0181/kartor/A 27971-2022 karta.png", "A 27971-2022")</f>
        <v/>
      </c>
      <c r="Y24">
        <f>HYPERLINK("https://klasma.github.io/Logging_0181/kartor_geotiff/A 27971-2022 georefererad karta.tif", "A 27971-2022")</f>
        <v/>
      </c>
      <c r="AA24">
        <f>HYPERLINK("https://klasma.github.io/Logging_0181/klagomål/A 27971-2022 FSC-klagomål.docx", "A 27971-2022")</f>
        <v/>
      </c>
      <c r="AB24">
        <f>HYPERLINK("https://klasma.github.io/Logging_0181/klagomålsmail/A 27971-2022 FSC-klagomål mail.docx", "A 27971-2022")</f>
        <v/>
      </c>
      <c r="AC24">
        <f>HYPERLINK("https://klasma.github.io/Logging_0181/tillsyn/A 27971-2022 tillsynsbegäran.docx", "A 27971-2022")</f>
        <v/>
      </c>
      <c r="AD24">
        <f>HYPERLINK("https://klasma.github.io/Logging_0181/tillsynsmail/A 27971-2022 tillsynsbegäran mail.docx", "A 27971-2022")</f>
        <v/>
      </c>
    </row>
    <row r="25" ht="15" customHeight="1">
      <c r="A25" t="inlineStr">
        <is>
          <t>A 2680-2026</t>
        </is>
      </c>
      <c r="B25" t="inlineStr">
        <is>
          <t>avverkningsanmälan</t>
        </is>
      </c>
      <c r="C25" t="inlineStr">
        <is>
          <t>Föryngringsavverkning</t>
        </is>
      </c>
      <c r="D25" s="1" t="n">
        <v>46037</v>
      </c>
      <c r="E25" s="1" t="n">
        <v>46234</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49850-2025</t>
        </is>
      </c>
      <c r="B26" t="inlineStr">
        <is>
          <t>avverkningsanmälan</t>
        </is>
      </c>
      <c r="C26" t="inlineStr">
        <is>
          <t>Föryngringsavverkning</t>
        </is>
      </c>
      <c r="D26" s="1" t="n">
        <v>45940</v>
      </c>
      <c r="E26" s="1" t="n">
        <v>46234</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52791-2024</t>
        </is>
      </c>
      <c r="B27" t="inlineStr">
        <is>
          <t>avverkningsanmälan</t>
        </is>
      </c>
      <c r="C27" t="inlineStr">
        <is>
          <t>Föryngringsavverkning</t>
        </is>
      </c>
      <c r="D27" s="1" t="n">
        <v>45610</v>
      </c>
      <c r="E27" s="1" t="n">
        <v>46234</v>
      </c>
      <c r="F27" t="inlineStr">
        <is>
          <t>STOCKHOLMS LÄN</t>
        </is>
      </c>
      <c r="G27" t="inlineStr">
        <is>
          <t>SÖDERTÄLJE</t>
        </is>
      </c>
      <c r="I27" t="n">
        <v>0.7</v>
      </c>
      <c r="J27" t="n">
        <v>2</v>
      </c>
      <c r="K27" t="n">
        <v>2</v>
      </c>
      <c r="L27" t="n">
        <v>0</v>
      </c>
      <c r="M27" t="n">
        <v>1</v>
      </c>
      <c r="N27" t="n">
        <v>0</v>
      </c>
      <c r="O27" t="n">
        <v>0</v>
      </c>
      <c r="P27" t="n">
        <v>0</v>
      </c>
      <c r="Q27" t="n">
        <v>1</v>
      </c>
      <c r="R27" t="n">
        <v>1</v>
      </c>
      <c r="S27" t="n">
        <v>4</v>
      </c>
      <c r="T27" t="n">
        <v>21</v>
      </c>
      <c r="U27" t="n">
        <v>21</v>
      </c>
      <c r="V27" s="2" t="inlineStr">
        <is>
          <t>Knärot
Blomkålssvamp
Granbarkgnagare
Spillkråka</t>
        </is>
      </c>
      <c r="W27">
        <f>HYPERLINK("https://klasma.github.io/Logging_0181/artfynd/A 52791-2024 artfynd.xlsx", "A 52791-2024")</f>
        <v/>
      </c>
      <c r="X27">
        <f>HYPERLINK("https://klasma.github.io/Logging_0181/kartor/A 52791-2024 karta.png", "A 52791-2024")</f>
        <v/>
      </c>
      <c r="Y27">
        <f>HYPERLINK("https://klasma.github.io/Logging_0181/kartor_geotiff/A 52791-2024 georefererad karta.tif", "A 52791-2024")</f>
        <v/>
      </c>
      <c r="Z27">
        <f>HYPERLINK("https://klasma.github.io/Logging_0181/knärot/A 52791-2024 karta knärot.png", "A 52791-2024")</f>
        <v/>
      </c>
      <c r="AA27">
        <f>HYPERLINK("https://klasma.github.io/Logging_0181/klagomål/A 52791-2024 FSC-klagomål.docx", "A 52791-2024")</f>
        <v/>
      </c>
      <c r="AB27">
        <f>HYPERLINK("https://klasma.github.io/Logging_0181/klagomålsmail/A 52791-2024 FSC-klagomål mail.docx", "A 52791-2024")</f>
        <v/>
      </c>
      <c r="AC27">
        <f>HYPERLINK("https://klasma.github.io/Logging_0181/tillsyn/A 52791-2024 tillsynsbegäran.docx", "A 52791-2024")</f>
        <v/>
      </c>
      <c r="AD27">
        <f>HYPERLINK("https://klasma.github.io/Logging_0181/tillsynsmail/A 52791-2024 tillsynsbegäran mail.docx", "A 52791-2024")</f>
        <v/>
      </c>
      <c r="AE27">
        <f>HYPERLINK("https://klasma.github.io/Logging_0181/fåglar/A 52791-2024 prioriterade fågelarter.docx", "A 52791-2024")</f>
        <v/>
      </c>
    </row>
    <row r="28" ht="15" customHeight="1">
      <c r="A28" t="inlineStr">
        <is>
          <t>A 9205-2026</t>
        </is>
      </c>
      <c r="B28" t="inlineStr">
        <is>
          <t>avverkningsanmälan</t>
        </is>
      </c>
      <c r="C28" t="inlineStr">
        <is>
          <t>Föryngringsavverkning</t>
        </is>
      </c>
      <c r="D28" s="1" t="n">
        <v>46070</v>
      </c>
      <c r="E28" s="1" t="n">
        <v>46234</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14771-2022</t>
        </is>
      </c>
      <c r="B29" t="inlineStr">
        <is>
          <t>avverkningsanmälan</t>
        </is>
      </c>
      <c r="C29" t="inlineStr">
        <is>
          <t>Föryngringsavverkning</t>
        </is>
      </c>
      <c r="D29" s="1" t="n">
        <v>44656</v>
      </c>
      <c r="E29" s="1" t="n">
        <v>46234</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t="n">
        <v>0</v>
      </c>
      <c r="V29" s="2" t="inlineStr">
        <is>
          <t>Grönpyrola
Vanlig groda
Vanlig padda
Revlummer</t>
        </is>
      </c>
      <c r="W29">
        <f>HYPERLINK("https://klasma.github.io/Logging_0181/artfynd/A 14771-2022 artfynd.xlsx", "A 14771-2022")</f>
        <v/>
      </c>
      <c r="X29">
        <f>HYPERLINK("https://klasma.github.io/Logging_0181/kartor/A 14771-2022 karta.png", "A 14771-2022")</f>
        <v/>
      </c>
      <c r="Y29">
        <f>HYPERLINK("https://klasma.github.io/Logging_0181/kartor_geotiff/A 14771-2022 georefererad karta.tif", "A 14771-2022")</f>
        <v/>
      </c>
      <c r="AA29">
        <f>HYPERLINK("https://klasma.github.io/Logging_0181/klagomål/A 14771-2022 FSC-klagomål.docx", "A 14771-2022")</f>
        <v/>
      </c>
      <c r="AB29">
        <f>HYPERLINK("https://klasma.github.io/Logging_0181/klagomålsmail/A 14771-2022 FSC-klagomål mail.docx", "A 14771-2022")</f>
        <v/>
      </c>
      <c r="AC29">
        <f>HYPERLINK("https://klasma.github.io/Logging_0181/tillsyn/A 14771-2022 tillsynsbegäran.docx", "A 14771-2022")</f>
        <v/>
      </c>
      <c r="AD29">
        <f>HYPERLINK("https://klasma.github.io/Logging_0181/tillsynsmail/A 14771-2022 tillsynsbegäran mail.docx", "A 14771-2022")</f>
        <v/>
      </c>
    </row>
    <row r="30" ht="15" customHeight="1">
      <c r="A30" t="inlineStr">
        <is>
          <t>A 62320-2023</t>
        </is>
      </c>
      <c r="B30" t="inlineStr">
        <is>
          <t>avverkningsanmälan</t>
        </is>
      </c>
      <c r="C30" t="inlineStr">
        <is>
          <t>Föryngringsavverkning</t>
        </is>
      </c>
      <c r="D30" s="1" t="n">
        <v>45267</v>
      </c>
      <c r="E30" s="1" t="n">
        <v>46234</v>
      </c>
      <c r="F30" t="inlineStr">
        <is>
          <t>STOCKHOLMS LÄN</t>
        </is>
      </c>
      <c r="G30" t="inlineStr">
        <is>
          <t>SÖDERTÄLJE</t>
        </is>
      </c>
      <c r="I30" t="n">
        <v>2.9</v>
      </c>
      <c r="J30" t="n">
        <v>0</v>
      </c>
      <c r="K30" t="n">
        <v>2</v>
      </c>
      <c r="L30" t="n">
        <v>2</v>
      </c>
      <c r="M30" t="n">
        <v>0</v>
      </c>
      <c r="N30" t="n">
        <v>0</v>
      </c>
      <c r="O30" t="n">
        <v>0</v>
      </c>
      <c r="P30" t="n">
        <v>0</v>
      </c>
      <c r="Q30" t="n">
        <v>2</v>
      </c>
      <c r="R30" t="n">
        <v>0</v>
      </c>
      <c r="S30" t="n">
        <v>4</v>
      </c>
      <c r="T30" t="n">
        <v>4</v>
      </c>
      <c r="U30" t="n">
        <v>4</v>
      </c>
      <c r="V30" s="2" t="inlineStr">
        <is>
          <t>Motaggsvamp
Vedskivlav
Björksplintborre
Jättesvampmal</t>
        </is>
      </c>
      <c r="W30">
        <f>HYPERLINK("https://klasma.github.io/Logging_0181/artfynd/A 62320-2023 artfynd.xlsx", "A 62320-2023")</f>
        <v/>
      </c>
      <c r="X30">
        <f>HYPERLINK("https://klasma.github.io/Logging_0181/kartor/A 62320-2023 karta.png", "A 62320-2023")</f>
        <v/>
      </c>
      <c r="Y30">
        <f>HYPERLINK("https://klasma.github.io/Logging_0181/kartor_geotiff/A 62320-2023 georefererad karta.tif", "A 62320-2023")</f>
        <v/>
      </c>
      <c r="AA30">
        <f>HYPERLINK("https://klasma.github.io/Logging_0181/klagomål/A 62320-2023 FSC-klagomål.docx", "A 62320-2023")</f>
        <v/>
      </c>
      <c r="AB30">
        <f>HYPERLINK("https://klasma.github.io/Logging_0181/klagomålsmail/A 62320-2023 FSC-klagomål mail.docx", "A 62320-2023")</f>
        <v/>
      </c>
      <c r="AC30">
        <f>HYPERLINK("https://klasma.github.io/Logging_0181/tillsyn/A 62320-2023 tillsynsbegäran.docx", "A 62320-2023")</f>
        <v/>
      </c>
      <c r="AD30">
        <f>HYPERLINK("https://klasma.github.io/Logging_0181/tillsynsmail/A 62320-2023 tillsynsbegäran mail.docx", "A 62320-2023")</f>
        <v/>
      </c>
    </row>
    <row r="31" ht="15" customHeight="1">
      <c r="A31" t="inlineStr">
        <is>
          <t>A 48342-2025</t>
        </is>
      </c>
      <c r="B31" t="inlineStr">
        <is>
          <t>avverkningsanmälan</t>
        </is>
      </c>
      <c r="C31" t="inlineStr">
        <is>
          <t>Föryngringsavverkning</t>
        </is>
      </c>
      <c r="D31" s="1" t="n">
        <v>45933</v>
      </c>
      <c r="E31" s="1" t="n">
        <v>46234</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27972-2022</t>
        </is>
      </c>
      <c r="B32" t="inlineStr">
        <is>
          <t>avverkningsanmälan</t>
        </is>
      </c>
      <c r="C32" t="inlineStr">
        <is>
          <t>Föryngringsavverkning</t>
        </is>
      </c>
      <c r="D32" s="1" t="n">
        <v>44744</v>
      </c>
      <c r="E32" s="1" t="n">
        <v>46234</v>
      </c>
      <c r="F32" t="inlineStr">
        <is>
          <t>STOCKHOLMS LÄN</t>
        </is>
      </c>
      <c r="G32" t="inlineStr">
        <is>
          <t>SÖDERTÄLJE</t>
        </is>
      </c>
      <c r="I32" t="n">
        <v>3.4</v>
      </c>
      <c r="J32" t="n">
        <v>2</v>
      </c>
      <c r="K32" t="n">
        <v>0</v>
      </c>
      <c r="L32" t="n">
        <v>0</v>
      </c>
      <c r="M32" t="n">
        <v>0</v>
      </c>
      <c r="N32" t="n">
        <v>1</v>
      </c>
      <c r="O32" t="n">
        <v>0</v>
      </c>
      <c r="P32" t="n">
        <v>0</v>
      </c>
      <c r="Q32" t="n">
        <v>1</v>
      </c>
      <c r="R32" t="n">
        <v>1</v>
      </c>
      <c r="S32" t="n">
        <v>3</v>
      </c>
      <c r="T32" t="n">
        <v>3</v>
      </c>
      <c r="U32" t="n">
        <v>0</v>
      </c>
      <c r="V32" s="2" t="inlineStr">
        <is>
          <t>Ask
Dubbelnycklar
Kärrknipprot</t>
        </is>
      </c>
      <c r="W32">
        <f>HYPERLINK("https://klasma.github.io/Logging_0181/artfynd/A 27972-2022 artfynd.xlsx", "A 27972-2022")</f>
        <v/>
      </c>
      <c r="X32">
        <f>HYPERLINK("https://klasma.github.io/Logging_0181/kartor/A 27972-2022 karta.png", "A 27972-2022")</f>
        <v/>
      </c>
      <c r="Y32">
        <f>HYPERLINK("https://klasma.github.io/Logging_0181/kartor_geotiff/A 27972-2022 georefererad karta.tif", "A 27972-2022")</f>
        <v/>
      </c>
      <c r="AA32">
        <f>HYPERLINK("https://klasma.github.io/Logging_0181/klagomål/A 27972-2022 FSC-klagomål.docx", "A 27972-2022")</f>
        <v/>
      </c>
      <c r="AB32">
        <f>HYPERLINK("https://klasma.github.io/Logging_0181/klagomålsmail/A 27972-2022 FSC-klagomål mail.docx", "A 27972-2022")</f>
        <v/>
      </c>
      <c r="AC32">
        <f>HYPERLINK("https://klasma.github.io/Logging_0181/tillsyn/A 27972-2022 tillsynsbegäran.docx", "A 27972-2022")</f>
        <v/>
      </c>
      <c r="AD32">
        <f>HYPERLINK("https://klasma.github.io/Logging_0181/tillsynsmail/A 27972-2022 tillsynsbegäran mail.docx", "A 27972-2022")</f>
        <v/>
      </c>
    </row>
    <row r="33" ht="15" customHeight="1">
      <c r="A33" t="inlineStr">
        <is>
          <t>A 66734-2021</t>
        </is>
      </c>
      <c r="B33" t="inlineStr">
        <is>
          <t>avverkningsanmälan</t>
        </is>
      </c>
      <c r="C33" t="inlineStr">
        <is>
          <t>Föryngringsavverkning</t>
        </is>
      </c>
      <c r="D33" s="1" t="n">
        <v>44520</v>
      </c>
      <c r="E33" s="1" t="n">
        <v>46234</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A 37842-2022</t>
        </is>
      </c>
      <c r="B34" t="inlineStr">
        <is>
          <t>avverkningsanmälan</t>
        </is>
      </c>
      <c r="C34" t="inlineStr">
        <is>
          <t>Avverkning för annat ändamål</t>
        </is>
      </c>
      <c r="D34" s="1" t="n">
        <v>44810</v>
      </c>
      <c r="E34" s="1" t="n">
        <v>46234</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35113-2023</t>
        </is>
      </c>
      <c r="B35" t="inlineStr">
        <is>
          <t>avverkningsanmälan</t>
        </is>
      </c>
      <c r="C35" t="inlineStr">
        <is>
          <t>Föryngringsavverkning</t>
        </is>
      </c>
      <c r="D35" s="1" t="n">
        <v>45145</v>
      </c>
      <c r="E35" s="1" t="n">
        <v>46234</v>
      </c>
      <c r="F35" t="inlineStr">
        <is>
          <t>STOCKHOLMS LÄN</t>
        </is>
      </c>
      <c r="G35" t="inlineStr">
        <is>
          <t>SÖDERTÄLJE</t>
        </is>
      </c>
      <c r="I35" t="n">
        <v>1</v>
      </c>
      <c r="J35" t="n">
        <v>3</v>
      </c>
      <c r="K35" t="n">
        <v>0</v>
      </c>
      <c r="L35" t="n">
        <v>0</v>
      </c>
      <c r="M35" t="n">
        <v>0</v>
      </c>
      <c r="N35" t="n">
        <v>0</v>
      </c>
      <c r="O35" t="n">
        <v>0</v>
      </c>
      <c r="P35" t="n">
        <v>0</v>
      </c>
      <c r="Q35" t="n">
        <v>0</v>
      </c>
      <c r="R35" t="n">
        <v>0</v>
      </c>
      <c r="S35" t="n">
        <v>3</v>
      </c>
      <c r="T35" t="n">
        <v>3</v>
      </c>
      <c r="U35" t="n">
        <v>2</v>
      </c>
      <c r="V35" s="2" t="inlineStr">
        <is>
          <t>Blåsippa
Spillkråka
Kopparödla</t>
        </is>
      </c>
      <c r="W35">
        <f>HYPERLINK("https://klasma.github.io/Logging_0181/artfynd/A 35113-2023 artfynd.xlsx", "A 35113-2023")</f>
        <v/>
      </c>
      <c r="X35">
        <f>HYPERLINK("https://klasma.github.io/Logging_0181/kartor/A 35113-2023 karta.png", "A 35113-2023")</f>
        <v/>
      </c>
      <c r="Y35">
        <f>HYPERLINK("https://klasma.github.io/Logging_0181/kartor_geotiff/A 35113-2023 georefererad karta.tif", "A 35113-2023")</f>
        <v/>
      </c>
      <c r="AA35">
        <f>HYPERLINK("https://klasma.github.io/Logging_0181/klagomål/A 35113-2023 FSC-klagomål.docx", "A 35113-2023")</f>
        <v/>
      </c>
      <c r="AB35">
        <f>HYPERLINK("https://klasma.github.io/Logging_0181/klagomålsmail/A 35113-2023 FSC-klagomål mail.docx", "A 35113-2023")</f>
        <v/>
      </c>
      <c r="AC35">
        <f>HYPERLINK("https://klasma.github.io/Logging_0181/tillsyn/A 35113-2023 tillsynsbegäran.docx", "A 35113-2023")</f>
        <v/>
      </c>
      <c r="AD35">
        <f>HYPERLINK("https://klasma.github.io/Logging_0181/tillsynsmail/A 35113-2023 tillsynsbegäran mail.docx", "A 35113-2023")</f>
        <v/>
      </c>
      <c r="AE35">
        <f>HYPERLINK("https://klasma.github.io/Logging_0181/fåglar/A 35113-2023 prioriterade fågelarter.docx", "A 35113-2023")</f>
        <v/>
      </c>
    </row>
    <row r="36" ht="15" customHeight="1">
      <c r="A36" t="inlineStr">
        <is>
          <t>S 1804-2025</t>
        </is>
      </c>
      <c r="B36" t="inlineStr">
        <is>
          <t>samrådsanmälan</t>
        </is>
      </c>
      <c r="C36" t="inlineStr">
        <is>
          <t>Annan skogsbruksåtgärd</t>
        </is>
      </c>
      <c r="D36" s="1" t="n">
        <v>45817</v>
      </c>
      <c r="E36" s="1" t="n">
        <v>46234</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55044-2025</t>
        </is>
      </c>
      <c r="B37" t="inlineStr">
        <is>
          <t>avverkningsanmälan</t>
        </is>
      </c>
      <c r="C37" t="inlineStr">
        <is>
          <t>Föryngringsavverkning</t>
        </is>
      </c>
      <c r="D37" s="1" t="n">
        <v>45967</v>
      </c>
      <c r="E37" s="1" t="n">
        <v>46234</v>
      </c>
      <c r="F37" t="inlineStr">
        <is>
          <t>STOCKHOLMS LÄN</t>
        </is>
      </c>
      <c r="G37" t="inlineStr">
        <is>
          <t>SÖDERTÄLJE</t>
        </is>
      </c>
      <c r="I37" t="n">
        <v>3.8</v>
      </c>
      <c r="J37" t="n">
        <v>2</v>
      </c>
      <c r="K37" t="n">
        <v>0</v>
      </c>
      <c r="L37" t="n">
        <v>0</v>
      </c>
      <c r="M37" t="n">
        <v>0</v>
      </c>
      <c r="N37" t="n">
        <v>0</v>
      </c>
      <c r="O37" t="n">
        <v>0</v>
      </c>
      <c r="P37" t="n">
        <v>0</v>
      </c>
      <c r="Q37" t="n">
        <v>0</v>
      </c>
      <c r="R37" t="n">
        <v>0</v>
      </c>
      <c r="S37" t="n">
        <v>2</v>
      </c>
      <c r="T37" t="n">
        <v>2</v>
      </c>
      <c r="U37" t="n">
        <v>1</v>
      </c>
      <c r="V37" s="2" t="inlineStr">
        <is>
          <t>Blåsippa
Spillkråka</t>
        </is>
      </c>
      <c r="W37">
        <f>HYPERLINK("https://klasma.github.io/Logging_0181/artfynd/A 55044-2025 artfynd.xlsx", "A 55044-2025")</f>
        <v/>
      </c>
      <c r="X37">
        <f>HYPERLINK("https://klasma.github.io/Logging_0181/kartor/A 55044-2025 karta.png", "A 55044-2025")</f>
        <v/>
      </c>
      <c r="Y37">
        <f>HYPERLINK("https://klasma.github.io/Logging_0181/kartor_geotiff/A 55044-2025 georefererad karta.tif", "A 55044-2025")</f>
        <v/>
      </c>
      <c r="AA37">
        <f>HYPERLINK("https://klasma.github.io/Logging_0181/klagomål/A 55044-2025 FSC-klagomål.docx", "A 55044-2025")</f>
        <v/>
      </c>
      <c r="AB37">
        <f>HYPERLINK("https://klasma.github.io/Logging_0181/klagomålsmail/A 55044-2025 FSC-klagomål mail.docx", "A 55044-2025")</f>
        <v/>
      </c>
      <c r="AC37">
        <f>HYPERLINK("https://klasma.github.io/Logging_0181/tillsyn/A 55044-2025 tillsynsbegäran.docx", "A 55044-2025")</f>
        <v/>
      </c>
      <c r="AD37">
        <f>HYPERLINK("https://klasma.github.io/Logging_0181/tillsynsmail/A 55044-2025 tillsynsbegäran mail.docx", "A 55044-2025")</f>
        <v/>
      </c>
      <c r="AE37">
        <f>HYPERLINK("https://klasma.github.io/Logging_0181/fåglar/A 55044-2025 prioriterade fågelarter.docx", "A 55044-2025")</f>
        <v/>
      </c>
    </row>
    <row r="38" ht="15" customHeight="1">
      <c r="A38" t="inlineStr">
        <is>
          <t>A 27058-2024</t>
        </is>
      </c>
      <c r="B38" t="inlineStr">
        <is>
          <t>avverkningsanmälan</t>
        </is>
      </c>
      <c r="C38" t="inlineStr">
        <is>
          <t>Avverkning för att bevara och utveckla /försöksver</t>
        </is>
      </c>
      <c r="D38" s="1" t="n">
        <v>45471</v>
      </c>
      <c r="E38" s="1" t="n">
        <v>46234</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55941-2023</t>
        </is>
      </c>
      <c r="B39" t="inlineStr">
        <is>
          <t>avverkningsanmälan</t>
        </is>
      </c>
      <c r="C39" t="inlineStr">
        <is>
          <t>Föryngringsavverkning</t>
        </is>
      </c>
      <c r="D39" s="1" t="n">
        <v>45240</v>
      </c>
      <c r="E39" s="1" t="n">
        <v>46234</v>
      </c>
      <c r="F39" t="inlineStr">
        <is>
          <t>STOCKHOLMS LÄN</t>
        </is>
      </c>
      <c r="G39" t="inlineStr">
        <is>
          <t>SÖDERTÄLJE</t>
        </is>
      </c>
      <c r="I39" t="n">
        <v>2.5</v>
      </c>
      <c r="J39" t="n">
        <v>0</v>
      </c>
      <c r="K39" t="n">
        <v>1</v>
      </c>
      <c r="L39" t="n">
        <v>1</v>
      </c>
      <c r="M39" t="n">
        <v>0</v>
      </c>
      <c r="N39" t="n">
        <v>0</v>
      </c>
      <c r="O39" t="n">
        <v>0</v>
      </c>
      <c r="P39" t="n">
        <v>0</v>
      </c>
      <c r="Q39" t="n">
        <v>1</v>
      </c>
      <c r="R39" t="n">
        <v>0</v>
      </c>
      <c r="S39" t="n">
        <v>2</v>
      </c>
      <c r="T39" t="n">
        <v>2</v>
      </c>
      <c r="U39" t="n">
        <v>0</v>
      </c>
      <c r="V39" s="2" t="inlineStr">
        <is>
          <t>Gullpudra
Granbarkgnagare</t>
        </is>
      </c>
      <c r="W39">
        <f>HYPERLINK("https://klasma.github.io/Logging_0181/artfynd/A 55941-2023 artfynd.xlsx", "A 55941-2023")</f>
        <v/>
      </c>
      <c r="X39">
        <f>HYPERLINK("https://klasma.github.io/Logging_0181/kartor/A 55941-2023 karta.png", "A 55941-2023")</f>
        <v/>
      </c>
      <c r="Y39">
        <f>HYPERLINK("https://klasma.github.io/Logging_0181/kartor_geotiff/A 55941-2023 georefererad karta.tif", "A 55941-2023")</f>
        <v/>
      </c>
      <c r="AA39">
        <f>HYPERLINK("https://klasma.github.io/Logging_0181/klagomål/A 55941-2023 FSC-klagomål.docx", "A 55941-2023")</f>
        <v/>
      </c>
      <c r="AB39">
        <f>HYPERLINK("https://klasma.github.io/Logging_0181/klagomålsmail/A 55941-2023 FSC-klagomål mail.docx", "A 55941-2023")</f>
        <v/>
      </c>
      <c r="AC39">
        <f>HYPERLINK("https://klasma.github.io/Logging_0181/tillsyn/A 55941-2023 tillsynsbegäran.docx", "A 55941-2023")</f>
        <v/>
      </c>
      <c r="AD39">
        <f>HYPERLINK("https://klasma.github.io/Logging_0181/tillsynsmail/A 55941-2023 tillsynsbegäran mail.docx", "A 55941-2023")</f>
        <v/>
      </c>
    </row>
    <row r="40" ht="15" customHeight="1">
      <c r="A40" t="inlineStr">
        <is>
          <t>A 35155-2023</t>
        </is>
      </c>
      <c r="B40" t="inlineStr">
        <is>
          <t>avverkningsanmälan</t>
        </is>
      </c>
      <c r="C40" t="inlineStr">
        <is>
          <t>Föryngringsavverkning</t>
        </is>
      </c>
      <c r="D40" s="1" t="n">
        <v>45145</v>
      </c>
      <c r="E40" s="1" t="n">
        <v>46234</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3711-2026</t>
        </is>
      </c>
      <c r="B41" t="inlineStr">
        <is>
          <t>avverkningsanmälan</t>
        </is>
      </c>
      <c r="C41" t="inlineStr">
        <is>
          <t>Föryngringsavverkning</t>
        </is>
      </c>
      <c r="D41" s="1" t="n">
        <v>46043</v>
      </c>
      <c r="E41" s="1" t="n">
        <v>46234</v>
      </c>
      <c r="F41" t="inlineStr">
        <is>
          <t>STOCKHOLMS LÄN</t>
        </is>
      </c>
      <c r="G41" t="inlineStr">
        <is>
          <t>SÖDERTÄLJE</t>
        </is>
      </c>
      <c r="I41" t="n">
        <v>5.3</v>
      </c>
      <c r="J41" t="n">
        <v>1</v>
      </c>
      <c r="K41" t="n">
        <v>0</v>
      </c>
      <c r="L41" t="n">
        <v>1</v>
      </c>
      <c r="M41" t="n">
        <v>0</v>
      </c>
      <c r="N41" t="n">
        <v>0</v>
      </c>
      <c r="O41" t="n">
        <v>0</v>
      </c>
      <c r="P41" t="n">
        <v>0</v>
      </c>
      <c r="Q41" t="n">
        <v>1</v>
      </c>
      <c r="R41" t="n">
        <v>0</v>
      </c>
      <c r="S41" t="n">
        <v>2</v>
      </c>
      <c r="T41" t="n">
        <v>3</v>
      </c>
      <c r="U41" t="n">
        <v>0</v>
      </c>
      <c r="V41" s="2" t="inlineStr">
        <is>
          <t>Motaggsvamp
Spillkråka</t>
        </is>
      </c>
      <c r="W41">
        <f>HYPERLINK("https://klasma.github.io/Logging_0181/artfynd/A 3711-2026 artfynd.xlsx", "A 3711-2026")</f>
        <v/>
      </c>
      <c r="X41">
        <f>HYPERLINK("https://klasma.github.io/Logging_0181/kartor/A 3711-2026 karta.png", "A 3711-2026")</f>
        <v/>
      </c>
      <c r="Y41">
        <f>HYPERLINK("https://klasma.github.io/Logging_0181/kartor_geotiff/A 3711-2026 georefererad karta.tif", "A 3711-2026")</f>
        <v/>
      </c>
      <c r="AA41">
        <f>HYPERLINK("https://klasma.github.io/Logging_0181/klagomål/A 3711-2026 FSC-klagomål.docx", "A 3711-2026")</f>
        <v/>
      </c>
      <c r="AB41">
        <f>HYPERLINK("https://klasma.github.io/Logging_0181/klagomålsmail/A 3711-2026 FSC-klagomål mail.docx", "A 3711-2026")</f>
        <v/>
      </c>
      <c r="AC41">
        <f>HYPERLINK("https://klasma.github.io/Logging_0181/tillsyn/A 3711-2026 tillsynsbegäran.docx", "A 3711-2026")</f>
        <v/>
      </c>
      <c r="AD41">
        <f>HYPERLINK("https://klasma.github.io/Logging_0181/tillsynsmail/A 3711-2026 tillsynsbegäran mail.docx", "A 3711-2026")</f>
        <v/>
      </c>
      <c r="AE41">
        <f>HYPERLINK("https://klasma.github.io/Logging_0181/fåglar/A 3711-2026 prioriterade fågelarter.docx", "A 3711-2026")</f>
        <v/>
      </c>
    </row>
    <row r="42" ht="15" customHeight="1">
      <c r="A42" t="inlineStr">
        <is>
          <t>A 43525-2023</t>
        </is>
      </c>
      <c r="B42" t="inlineStr">
        <is>
          <t>avverkningsanmälan</t>
        </is>
      </c>
      <c r="C42" t="inlineStr">
        <is>
          <t>Föryngringsavverkning</t>
        </is>
      </c>
      <c r="D42" s="1" t="n">
        <v>45184</v>
      </c>
      <c r="E42" s="1" t="n">
        <v>46234</v>
      </c>
      <c r="F42" t="inlineStr">
        <is>
          <t>STOCKHOLMS LÄN</t>
        </is>
      </c>
      <c r="G42" t="inlineStr">
        <is>
          <t>SÖDERTÄLJE</t>
        </is>
      </c>
      <c r="H42" t="inlineStr">
        <is>
          <t>Sveaskog</t>
        </is>
      </c>
      <c r="I42" t="n">
        <v>3.7</v>
      </c>
      <c r="J42" t="n">
        <v>1</v>
      </c>
      <c r="K42" t="n">
        <v>0</v>
      </c>
      <c r="L42" t="n">
        <v>1</v>
      </c>
      <c r="M42" t="n">
        <v>0</v>
      </c>
      <c r="N42" t="n">
        <v>0</v>
      </c>
      <c r="O42" t="n">
        <v>0</v>
      </c>
      <c r="P42" t="n">
        <v>0</v>
      </c>
      <c r="Q42" t="n">
        <v>1</v>
      </c>
      <c r="R42" t="n">
        <v>0</v>
      </c>
      <c r="S42" t="n">
        <v>2</v>
      </c>
      <c r="T42" t="n">
        <v>6</v>
      </c>
      <c r="U42" t="n">
        <v>6</v>
      </c>
      <c r="V42" s="2" t="inlineStr">
        <is>
          <t>Slåtterfibbla
Fläcknycklar</t>
        </is>
      </c>
      <c r="W42">
        <f>HYPERLINK("https://klasma.github.io/Logging_0181/artfynd/A 43525-2023 artfynd.xlsx", "A 43525-2023")</f>
        <v/>
      </c>
      <c r="X42">
        <f>HYPERLINK("https://klasma.github.io/Logging_0181/kartor/A 43525-2023 karta.png", "A 43525-2023")</f>
        <v/>
      </c>
      <c r="Y42">
        <f>HYPERLINK("https://klasma.github.io/Logging_0181/kartor_geotiff/A 43525-2023 georefererad karta.tif", "A 43525-2023")</f>
        <v/>
      </c>
      <c r="AA42">
        <f>HYPERLINK("https://klasma.github.io/Logging_0181/klagomål/A 43525-2023 FSC-klagomål.docx", "A 43525-2023")</f>
        <v/>
      </c>
      <c r="AB42">
        <f>HYPERLINK("https://klasma.github.io/Logging_0181/klagomålsmail/A 43525-2023 FSC-klagomål mail.docx", "A 43525-2023")</f>
        <v/>
      </c>
      <c r="AC42">
        <f>HYPERLINK("https://klasma.github.io/Logging_0181/tillsyn/A 43525-2023 tillsynsbegäran.docx", "A 43525-2023")</f>
        <v/>
      </c>
      <c r="AD42">
        <f>HYPERLINK("https://klasma.github.io/Logging_0181/tillsynsmail/A 43525-2023 tillsynsbegäran mail.docx", "A 43525-2023")</f>
        <v/>
      </c>
    </row>
    <row r="43" ht="15" customHeight="1">
      <c r="A43" t="inlineStr">
        <is>
          <t>A 55263-2021</t>
        </is>
      </c>
      <c r="B43" t="inlineStr">
        <is>
          <t>avverkningsanmälan</t>
        </is>
      </c>
      <c r="C43" t="inlineStr">
        <is>
          <t>Föryngringsavverkning</t>
        </is>
      </c>
      <c r="D43" s="1" t="n">
        <v>44475</v>
      </c>
      <c r="E43" s="1" t="n">
        <v>46234</v>
      </c>
      <c r="F43" t="inlineStr">
        <is>
          <t>STOCKHOLMS LÄN</t>
        </is>
      </c>
      <c r="G43" t="inlineStr">
        <is>
          <t>SÖDERTÄLJE</t>
        </is>
      </c>
      <c r="I43" t="n">
        <v>2.3</v>
      </c>
      <c r="J43" t="n">
        <v>0</v>
      </c>
      <c r="K43" t="n">
        <v>0</v>
      </c>
      <c r="L43" t="n">
        <v>2</v>
      </c>
      <c r="M43" t="n">
        <v>0</v>
      </c>
      <c r="N43" t="n">
        <v>0</v>
      </c>
      <c r="O43" t="n">
        <v>0</v>
      </c>
      <c r="P43" t="n">
        <v>0</v>
      </c>
      <c r="Q43" t="n">
        <v>2</v>
      </c>
      <c r="R43" t="n">
        <v>0</v>
      </c>
      <c r="S43" t="n">
        <v>2</v>
      </c>
      <c r="T43" t="n">
        <v>2</v>
      </c>
      <c r="U43" t="n">
        <v>0</v>
      </c>
      <c r="V43" s="2" t="inlineStr">
        <is>
          <t>Backklöver
Reliktbock</t>
        </is>
      </c>
      <c r="W43">
        <f>HYPERLINK("https://klasma.github.io/Logging_0181/artfynd/A 55263-2021 artfynd.xlsx", "A 55263-2021")</f>
        <v/>
      </c>
      <c r="X43">
        <f>HYPERLINK("https://klasma.github.io/Logging_0181/kartor/A 55263-2021 karta.png", "A 55263-2021")</f>
        <v/>
      </c>
      <c r="Y43">
        <f>HYPERLINK("https://klasma.github.io/Logging_0181/kartor_geotiff/A 55263-2021 georefererad karta.tif", "A 55263-2021")</f>
        <v/>
      </c>
      <c r="AA43">
        <f>HYPERLINK("https://klasma.github.io/Logging_0181/klagomål/A 55263-2021 FSC-klagomål.docx", "A 55263-2021")</f>
        <v/>
      </c>
      <c r="AB43">
        <f>HYPERLINK("https://klasma.github.io/Logging_0181/klagomålsmail/A 55263-2021 FSC-klagomål mail.docx", "A 55263-2021")</f>
        <v/>
      </c>
      <c r="AC43">
        <f>HYPERLINK("https://klasma.github.io/Logging_0181/tillsyn/A 55263-2021 tillsynsbegäran.docx", "A 55263-2021")</f>
        <v/>
      </c>
      <c r="AD43">
        <f>HYPERLINK("https://klasma.github.io/Logging_0181/tillsynsmail/A 55263-2021 tillsynsbegäran mail.docx", "A 55263-2021")</f>
        <v/>
      </c>
    </row>
    <row r="44" ht="15" customHeight="1">
      <c r="A44" t="inlineStr">
        <is>
          <t>A 10263-2025</t>
        </is>
      </c>
      <c r="B44" t="inlineStr">
        <is>
          <t>avverkningsanmälan</t>
        </is>
      </c>
      <c r="C44" t="inlineStr">
        <is>
          <t>Föryngringsavverkning</t>
        </is>
      </c>
      <c r="D44" s="1" t="n">
        <v>45720</v>
      </c>
      <c r="E44" s="1" t="n">
        <v>46234</v>
      </c>
      <c r="F44" t="inlineStr">
        <is>
          <t>STOCKHOLMS LÄN</t>
        </is>
      </c>
      <c r="G44" t="inlineStr">
        <is>
          <t>SÖDERTÄLJE</t>
        </is>
      </c>
      <c r="I44" t="n">
        <v>4.8</v>
      </c>
      <c r="J44" t="n">
        <v>2</v>
      </c>
      <c r="K44" t="n">
        <v>0</v>
      </c>
      <c r="L44" t="n">
        <v>0</v>
      </c>
      <c r="M44" t="n">
        <v>0</v>
      </c>
      <c r="N44" t="n">
        <v>0</v>
      </c>
      <c r="O44" t="n">
        <v>0</v>
      </c>
      <c r="P44" t="n">
        <v>0</v>
      </c>
      <c r="Q44" t="n">
        <v>0</v>
      </c>
      <c r="R44" t="n">
        <v>0</v>
      </c>
      <c r="S44" t="n">
        <v>2</v>
      </c>
      <c r="T44" t="n">
        <v>2</v>
      </c>
      <c r="U44" t="n">
        <v>0</v>
      </c>
      <c r="V44" s="2" t="inlineStr">
        <is>
          <t>Spillkråka
Kungsfågel</t>
        </is>
      </c>
      <c r="W44">
        <f>HYPERLINK("https://klasma.github.io/Logging_0181/artfynd/A 10263-2025 artfynd.xlsx", "A 10263-2025")</f>
        <v/>
      </c>
      <c r="X44">
        <f>HYPERLINK("https://klasma.github.io/Logging_0181/kartor/A 10263-2025 karta.png", "A 10263-2025")</f>
        <v/>
      </c>
      <c r="Y44">
        <f>HYPERLINK("https://klasma.github.io/Logging_0181/kartor_geotiff/A 10263-2025 georefererad karta.tif", "A 10263-2025")</f>
        <v/>
      </c>
      <c r="AA44">
        <f>HYPERLINK("https://klasma.github.io/Logging_0181/klagomål/A 10263-2025 FSC-klagomål.docx", "A 10263-2025")</f>
        <v/>
      </c>
      <c r="AB44">
        <f>HYPERLINK("https://klasma.github.io/Logging_0181/klagomålsmail/A 10263-2025 FSC-klagomål mail.docx", "A 10263-2025")</f>
        <v/>
      </c>
      <c r="AC44">
        <f>HYPERLINK("https://klasma.github.io/Logging_0181/tillsyn/A 10263-2025 tillsynsbegäran.docx", "A 10263-2025")</f>
        <v/>
      </c>
      <c r="AD44">
        <f>HYPERLINK("https://klasma.github.io/Logging_0181/tillsynsmail/A 10263-2025 tillsynsbegäran mail.docx", "A 10263-2025")</f>
        <v/>
      </c>
      <c r="AE44">
        <f>HYPERLINK("https://klasma.github.io/Logging_0181/fåglar/A 10263-2025 prioriterade fågelarter.docx", "A 10263-2025")</f>
        <v/>
      </c>
    </row>
    <row r="45" ht="15" customHeight="1">
      <c r="A45" t="inlineStr">
        <is>
          <t>A 16478-2025</t>
        </is>
      </c>
      <c r="B45" t="inlineStr">
        <is>
          <t>avverkningsanmälan</t>
        </is>
      </c>
      <c r="C45" t="inlineStr">
        <is>
          <t>Föryngringsavverkning</t>
        </is>
      </c>
      <c r="D45" s="1" t="n">
        <v>45751</v>
      </c>
      <c r="E45" s="1" t="n">
        <v>46234</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16724-2022</t>
        </is>
      </c>
      <c r="B46" t="inlineStr">
        <is>
          <t>avverkningsanmälan</t>
        </is>
      </c>
      <c r="C46" t="inlineStr">
        <is>
          <t>Avverkning för annat ändamål</t>
        </is>
      </c>
      <c r="D46" s="1" t="n">
        <v>44673</v>
      </c>
      <c r="E46" s="1" t="n">
        <v>46234</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t="n">
        <v>1</v>
      </c>
      <c r="V46" s="2" t="inlineStr">
        <is>
          <t>Stor bockrot
Gullpudra</t>
        </is>
      </c>
      <c r="W46">
        <f>HYPERLINK("https://klasma.github.io/Logging_0181/artfynd/A 16724-2022 artfynd.xlsx", "A 16724-2022")</f>
        <v/>
      </c>
      <c r="X46">
        <f>HYPERLINK("https://klasma.github.io/Logging_0181/kartor/A 16724-2022 karta.png", "A 16724-2022")</f>
        <v/>
      </c>
      <c r="Y46">
        <f>HYPERLINK("https://klasma.github.io/Logging_0181/kartor_geotiff/A 16724-2022 georefererad karta.tif", "A 16724-2022")</f>
        <v/>
      </c>
      <c r="AA46">
        <f>HYPERLINK("https://klasma.github.io/Logging_0181/klagomål/A 16724-2022 FSC-klagomål.docx", "A 16724-2022")</f>
        <v/>
      </c>
      <c r="AB46">
        <f>HYPERLINK("https://klasma.github.io/Logging_0181/klagomålsmail/A 16724-2022 FSC-klagomål mail.docx", "A 16724-2022")</f>
        <v/>
      </c>
      <c r="AC46">
        <f>HYPERLINK("https://klasma.github.io/Logging_0181/tillsyn/A 16724-2022 tillsynsbegäran.docx", "A 16724-2022")</f>
        <v/>
      </c>
      <c r="AD46">
        <f>HYPERLINK("https://klasma.github.io/Logging_0181/tillsynsmail/A 16724-2022 tillsynsbegäran mail.docx", "A 16724-2022")</f>
        <v/>
      </c>
    </row>
    <row r="47" ht="15" customHeight="1">
      <c r="A47" t="inlineStr">
        <is>
          <t>A 52046-2022</t>
        </is>
      </c>
      <c r="B47" t="inlineStr">
        <is>
          <t>avverkningsanmälan</t>
        </is>
      </c>
      <c r="C47" t="inlineStr">
        <is>
          <t>Föryngringsavverkning</t>
        </is>
      </c>
      <c r="D47" s="1" t="n">
        <v>44868</v>
      </c>
      <c r="E47" s="1" t="n">
        <v>46234</v>
      </c>
      <c r="F47" t="inlineStr">
        <is>
          <t>STOCKHOLMS LÄN</t>
        </is>
      </c>
      <c r="G47" t="inlineStr">
        <is>
          <t>SÖDERTÄLJE</t>
        </is>
      </c>
      <c r="H47" t="inlineStr">
        <is>
          <t>Kommuner</t>
        </is>
      </c>
      <c r="I47" t="n">
        <v>14.4</v>
      </c>
      <c r="J47" t="n">
        <v>1</v>
      </c>
      <c r="K47" t="n">
        <v>0</v>
      </c>
      <c r="L47" t="n">
        <v>1</v>
      </c>
      <c r="M47" t="n">
        <v>0</v>
      </c>
      <c r="N47" t="n">
        <v>0</v>
      </c>
      <c r="O47" t="n">
        <v>0</v>
      </c>
      <c r="P47" t="n">
        <v>0</v>
      </c>
      <c r="Q47" t="n">
        <v>1</v>
      </c>
      <c r="R47" t="n">
        <v>0</v>
      </c>
      <c r="S47" t="n">
        <v>2</v>
      </c>
      <c r="T47" t="n">
        <v>2</v>
      </c>
      <c r="U47" t="n">
        <v>1</v>
      </c>
      <c r="V47" s="2" t="inlineStr">
        <is>
          <t>Ullticka
Nattviol</t>
        </is>
      </c>
      <c r="W47">
        <f>HYPERLINK("https://klasma.github.io/Logging_0181/artfynd/A 52046-2022 artfynd.xlsx", "A 52046-2022")</f>
        <v/>
      </c>
      <c r="X47">
        <f>HYPERLINK("https://klasma.github.io/Logging_0181/kartor/A 52046-2022 karta.png", "A 52046-2022")</f>
        <v/>
      </c>
      <c r="Y47">
        <f>HYPERLINK("https://klasma.github.io/Logging_0181/kartor_geotiff/A 52046-2022 georefererad karta.tif", "A 52046-2022")</f>
        <v/>
      </c>
      <c r="AA47">
        <f>HYPERLINK("https://klasma.github.io/Logging_0181/klagomål/A 52046-2022 FSC-klagomål.docx", "A 52046-2022")</f>
        <v/>
      </c>
      <c r="AB47">
        <f>HYPERLINK("https://klasma.github.io/Logging_0181/klagomålsmail/A 52046-2022 FSC-klagomål mail.docx", "A 52046-2022")</f>
        <v/>
      </c>
      <c r="AC47">
        <f>HYPERLINK("https://klasma.github.io/Logging_0181/tillsyn/A 52046-2022 tillsynsbegäran.docx", "A 52046-2022")</f>
        <v/>
      </c>
      <c r="AD47">
        <f>HYPERLINK("https://klasma.github.io/Logging_0181/tillsynsmail/A 52046-2022 tillsynsbegäran mail.docx", "A 52046-2022")</f>
        <v/>
      </c>
    </row>
    <row r="48" ht="15" customHeight="1">
      <c r="A48" t="inlineStr">
        <is>
          <t>A 16535-2025</t>
        </is>
      </c>
      <c r="B48" t="inlineStr">
        <is>
          <t>avverkningsanmälan</t>
        </is>
      </c>
      <c r="C48" t="inlineStr">
        <is>
          <t>Föryngringsavverkning</t>
        </is>
      </c>
      <c r="D48" s="1" t="n">
        <v>45751</v>
      </c>
      <c r="E48" s="1" t="n">
        <v>46234</v>
      </c>
      <c r="F48" t="inlineStr">
        <is>
          <t>STOCKHOLMS LÄN</t>
        </is>
      </c>
      <c r="G48" t="inlineStr">
        <is>
          <t>SÖDERTÄLJE</t>
        </is>
      </c>
      <c r="I48" t="n">
        <v>1.1</v>
      </c>
      <c r="J48" t="n">
        <v>1</v>
      </c>
      <c r="K48" t="n">
        <v>1</v>
      </c>
      <c r="L48" t="n">
        <v>0</v>
      </c>
      <c r="M48" t="n">
        <v>0</v>
      </c>
      <c r="N48" t="n">
        <v>0</v>
      </c>
      <c r="O48" t="n">
        <v>0</v>
      </c>
      <c r="P48" t="n">
        <v>0</v>
      </c>
      <c r="Q48" t="n">
        <v>0</v>
      </c>
      <c r="R48" t="n">
        <v>0</v>
      </c>
      <c r="S48" t="n">
        <v>2</v>
      </c>
      <c r="T48" t="n">
        <v>4</v>
      </c>
      <c r="U48" t="n">
        <v>0</v>
      </c>
      <c r="V48" s="2" t="inlineStr">
        <is>
          <t>Tibast
Blåsippa</t>
        </is>
      </c>
      <c r="W48">
        <f>HYPERLINK("https://klasma.github.io/Logging_0181/artfynd/A 16535-2025 artfynd.xlsx", "A 16535-2025")</f>
        <v/>
      </c>
      <c r="X48">
        <f>HYPERLINK("https://klasma.github.io/Logging_0181/kartor/A 16535-2025 karta.png", "A 16535-2025")</f>
        <v/>
      </c>
      <c r="Y48">
        <f>HYPERLINK("https://klasma.github.io/Logging_0181/kartor_geotiff/A 16535-2025 georefererad karta.tif", "A 16535-2025")</f>
        <v/>
      </c>
      <c r="AA48">
        <f>HYPERLINK("https://klasma.github.io/Logging_0181/klagomål/A 16535-2025 FSC-klagomål.docx", "A 16535-2025")</f>
        <v/>
      </c>
      <c r="AB48">
        <f>HYPERLINK("https://klasma.github.io/Logging_0181/klagomålsmail/A 16535-2025 FSC-klagomål mail.docx", "A 16535-2025")</f>
        <v/>
      </c>
      <c r="AC48">
        <f>HYPERLINK("https://klasma.github.io/Logging_0181/tillsyn/A 16535-2025 tillsynsbegäran.docx", "A 16535-2025")</f>
        <v/>
      </c>
      <c r="AD48">
        <f>HYPERLINK("https://klasma.github.io/Logging_0181/tillsynsmail/A 16535-2025 tillsynsbegäran mail.docx", "A 16535-2025")</f>
        <v/>
      </c>
    </row>
    <row r="49" ht="15" customHeight="1">
      <c r="A49" t="inlineStr">
        <is>
          <t>S 6027-2022</t>
        </is>
      </c>
      <c r="B49" t="inlineStr">
        <is>
          <t>samrådsanmälan</t>
        </is>
      </c>
      <c r="C49" t="inlineStr">
        <is>
          <t>Annan skogsbruksåtgärd</t>
        </is>
      </c>
      <c r="D49" s="1" t="n">
        <v>44859</v>
      </c>
      <c r="E49" s="1" t="n">
        <v>46234</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46234</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46234</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58928-2022</t>
        </is>
      </c>
      <c r="B52" t="inlineStr">
        <is>
          <t>avverkningsanmälan</t>
        </is>
      </c>
      <c r="C52" t="inlineStr">
        <is>
          <t>Föryngringsavverkning</t>
        </is>
      </c>
      <c r="D52" s="1" t="n">
        <v>44903</v>
      </c>
      <c r="E52" s="1" t="n">
        <v>46234</v>
      </c>
      <c r="F52" t="inlineStr">
        <is>
          <t>STOCKHOLMS LÄN</t>
        </is>
      </c>
      <c r="G52" t="inlineStr">
        <is>
          <t>SÖDERTÄLJE</t>
        </is>
      </c>
      <c r="H52" t="inlineStr">
        <is>
          <t>Kommuner</t>
        </is>
      </c>
      <c r="I52" t="n">
        <v>9.199999999999999</v>
      </c>
      <c r="J52" t="n">
        <v>0</v>
      </c>
      <c r="K52" t="n">
        <v>0</v>
      </c>
      <c r="L52" t="n">
        <v>0</v>
      </c>
      <c r="M52" t="n">
        <v>1</v>
      </c>
      <c r="N52" t="n">
        <v>0</v>
      </c>
      <c r="O52" t="n">
        <v>0</v>
      </c>
      <c r="P52" t="n">
        <v>0</v>
      </c>
      <c r="Q52" t="n">
        <v>1</v>
      </c>
      <c r="R52" t="n">
        <v>1</v>
      </c>
      <c r="S52" t="n">
        <v>1</v>
      </c>
      <c r="T52" t="n">
        <v>1</v>
      </c>
      <c r="U52" t="n">
        <v>0</v>
      </c>
      <c r="V52" s="2" t="inlineStr">
        <is>
          <t>Bandnate</t>
        </is>
      </c>
      <c r="W52">
        <f>HYPERLINK("https://klasma.github.io/Logging_0181/artfynd/A 58928-2022 artfynd.xlsx", "A 58928-2022")</f>
        <v/>
      </c>
      <c r="X52">
        <f>HYPERLINK("https://klasma.github.io/Logging_0181/kartor/A 58928-2022 karta.png", "A 58928-2022")</f>
        <v/>
      </c>
      <c r="Y52">
        <f>HYPERLINK("https://klasma.github.io/Logging_0181/kartor_geotiff/A 58928-2022 georefererad karta.tif", "A 58928-2022")</f>
        <v/>
      </c>
      <c r="AA52">
        <f>HYPERLINK("https://klasma.github.io/Logging_0181/klagomål/A 58928-2022 FSC-klagomål.docx", "A 58928-2022")</f>
        <v/>
      </c>
      <c r="AB52">
        <f>HYPERLINK("https://klasma.github.io/Logging_0181/klagomålsmail/A 58928-2022 FSC-klagomål mail.docx", "A 58928-2022")</f>
        <v/>
      </c>
      <c r="AC52">
        <f>HYPERLINK("https://klasma.github.io/Logging_0181/tillsyn/A 58928-2022 tillsynsbegäran.docx", "A 58928-2022")</f>
        <v/>
      </c>
      <c r="AD52">
        <f>HYPERLINK("https://klasma.github.io/Logging_0181/tillsynsmail/A 58928-2022 tillsynsbegäran mail.docx", "A 58928-2022")</f>
        <v/>
      </c>
    </row>
    <row r="53" ht="15" customHeight="1">
      <c r="A53" t="inlineStr">
        <is>
          <t>A 33892-2022</t>
        </is>
      </c>
      <c r="B53" t="inlineStr">
        <is>
          <t>avverkningsanmälan</t>
        </is>
      </c>
      <c r="C53" t="inlineStr">
        <is>
          <t>Föryngringsavverkning</t>
        </is>
      </c>
      <c r="D53" s="1" t="n">
        <v>44790</v>
      </c>
      <c r="E53" s="1" t="n">
        <v>46234</v>
      </c>
      <c r="F53" t="inlineStr">
        <is>
          <t>STOCKHOLMS LÄN</t>
        </is>
      </c>
      <c r="G53" t="inlineStr">
        <is>
          <t>SÖDERTÄLJE</t>
        </is>
      </c>
      <c r="I53" t="n">
        <v>2.9</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HYPERLINK("https://klasma.github.io/Logging_0181/artfynd/A 33892-2022 artfynd.xlsx", "A 33892-2022")</f>
        <v/>
      </c>
      <c r="X53">
        <f>HYPERLINK("https://klasma.github.io/Logging_0181/kartor/A 33892-2022 karta.png", "A 33892-2022")</f>
        <v/>
      </c>
      <c r="Y53">
        <f>HYPERLINK("https://klasma.github.io/Logging_0181/kartor_geotiff/A 33892-2022 georefererad karta.tif", "A 33892-2022")</f>
        <v/>
      </c>
      <c r="AA53">
        <f>HYPERLINK("https://klasma.github.io/Logging_0181/klagomål/A 33892-2022 FSC-klagomål.docx", "A 33892-2022")</f>
        <v/>
      </c>
      <c r="AB53">
        <f>HYPERLINK("https://klasma.github.io/Logging_0181/klagomålsmail/A 33892-2022 FSC-klagomål mail.docx", "A 33892-2022")</f>
        <v/>
      </c>
      <c r="AC53">
        <f>HYPERLINK("https://klasma.github.io/Logging_0181/tillsyn/A 33892-2022 tillsynsbegäran.docx", "A 33892-2022")</f>
        <v/>
      </c>
      <c r="AD53">
        <f>HYPERLINK("https://klasma.github.io/Logging_0181/tillsynsmail/A 33892-2022 tillsynsbegäran mail.docx", "A 33892-2022")</f>
        <v/>
      </c>
      <c r="AE53">
        <f>HYPERLINK("https://klasma.github.io/Logging_0181/fåglar/A 33892-2022 prioriterade fågelarter.docx", "A 33892-2022")</f>
        <v/>
      </c>
    </row>
    <row r="54" ht="15" customHeight="1">
      <c r="A54" t="inlineStr">
        <is>
          <t>A 23772-2025</t>
        </is>
      </c>
      <c r="B54" t="inlineStr">
        <is>
          <t>avverkningsanmälan</t>
        </is>
      </c>
      <c r="C54" t="inlineStr">
        <is>
          <t>Föryngringsavverkning</t>
        </is>
      </c>
      <c r="D54" s="1" t="n">
        <v>45793</v>
      </c>
      <c r="E54" s="1" t="n">
        <v>46234</v>
      </c>
      <c r="F54" t="inlineStr">
        <is>
          <t>STOCKHOLMS LÄN</t>
        </is>
      </c>
      <c r="G54" t="inlineStr">
        <is>
          <t>SÖDERTÄLJE</t>
        </is>
      </c>
      <c r="I54" t="n">
        <v>1.2</v>
      </c>
      <c r="J54" t="n">
        <v>1</v>
      </c>
      <c r="K54" t="n">
        <v>0</v>
      </c>
      <c r="L54" t="n">
        <v>1</v>
      </c>
      <c r="M54" t="n">
        <v>0</v>
      </c>
      <c r="N54" t="n">
        <v>0</v>
      </c>
      <c r="O54" t="n">
        <v>0</v>
      </c>
      <c r="P54" t="n">
        <v>0</v>
      </c>
      <c r="Q54" t="n">
        <v>1</v>
      </c>
      <c r="R54" t="n">
        <v>0</v>
      </c>
      <c r="S54" t="n">
        <v>1</v>
      </c>
      <c r="T54" t="n">
        <v>1</v>
      </c>
      <c r="U54" t="n">
        <v>0</v>
      </c>
      <c r="V54" s="2" t="inlineStr">
        <is>
          <t>Rödvingetrast</t>
        </is>
      </c>
      <c r="W54">
        <f>HYPERLINK("https://klasma.github.io/Logging_0181/artfynd/A 23772-2025 artfynd.xlsx", "A 23772-2025")</f>
        <v/>
      </c>
      <c r="X54">
        <f>HYPERLINK("https://klasma.github.io/Logging_0181/kartor/A 23772-2025 karta.png", "A 23772-2025")</f>
        <v/>
      </c>
      <c r="Y54">
        <f>HYPERLINK("https://klasma.github.io/Logging_0181/kartor_geotiff/A 23772-2025 georefererad karta.tif", "A 23772-2025")</f>
        <v/>
      </c>
      <c r="AA54">
        <f>HYPERLINK("https://klasma.github.io/Logging_0181/klagomål/A 23772-2025 FSC-klagomål.docx", "A 23772-2025")</f>
        <v/>
      </c>
      <c r="AB54">
        <f>HYPERLINK("https://klasma.github.io/Logging_0181/klagomålsmail/A 23772-2025 FSC-klagomål mail.docx", "A 23772-2025")</f>
        <v/>
      </c>
      <c r="AC54">
        <f>HYPERLINK("https://klasma.github.io/Logging_0181/tillsyn/A 23772-2025 tillsynsbegäran.docx", "A 23772-2025")</f>
        <v/>
      </c>
      <c r="AD54">
        <f>HYPERLINK("https://klasma.github.io/Logging_0181/tillsynsmail/A 23772-2025 tillsynsbegäran mail.docx", "A 23772-2025")</f>
        <v/>
      </c>
      <c r="AE54">
        <f>HYPERLINK("https://klasma.github.io/Logging_0181/fåglar/A 23772-2025 prioriterade fågelarter.docx", "A 23772-2025")</f>
        <v/>
      </c>
    </row>
    <row r="55" ht="15" customHeight="1">
      <c r="A55" t="inlineStr">
        <is>
          <t>A 41702-2025</t>
        </is>
      </c>
      <c r="B55" t="inlineStr">
        <is>
          <t>avverkningsanmälan</t>
        </is>
      </c>
      <c r="C55" t="inlineStr">
        <is>
          <t>Föryngringsavverkning</t>
        </is>
      </c>
      <c r="D55" s="1" t="n">
        <v>45902</v>
      </c>
      <c r="E55" s="1" t="n">
        <v>46234</v>
      </c>
      <c r="F55" t="inlineStr">
        <is>
          <t>STOCKHOLMS LÄN</t>
        </is>
      </c>
      <c r="G55" t="inlineStr">
        <is>
          <t>SÖDERTÄLJE</t>
        </is>
      </c>
      <c r="I55" t="n">
        <v>2.1</v>
      </c>
      <c r="J55" t="n">
        <v>1</v>
      </c>
      <c r="K55" t="n">
        <v>0</v>
      </c>
      <c r="L55" t="n">
        <v>1</v>
      </c>
      <c r="M55" t="n">
        <v>0</v>
      </c>
      <c r="N55" t="n">
        <v>0</v>
      </c>
      <c r="O55" t="n">
        <v>0</v>
      </c>
      <c r="P55" t="n">
        <v>0</v>
      </c>
      <c r="Q55" t="n">
        <v>1</v>
      </c>
      <c r="R55" t="n">
        <v>0</v>
      </c>
      <c r="S55" t="n">
        <v>1</v>
      </c>
      <c r="T55" t="n">
        <v>1</v>
      </c>
      <c r="U55" t="n">
        <v>0</v>
      </c>
      <c r="V55" s="2" t="inlineStr">
        <is>
          <t>Björktrast</t>
        </is>
      </c>
      <c r="W55">
        <f>HYPERLINK("https://klasma.github.io/Logging_0181/artfynd/A 41702-2025 artfynd.xlsx", "A 41702-2025")</f>
        <v/>
      </c>
      <c r="X55">
        <f>HYPERLINK("https://klasma.github.io/Logging_0181/kartor/A 41702-2025 karta.png", "A 41702-2025")</f>
        <v/>
      </c>
      <c r="Y55">
        <f>HYPERLINK("https://klasma.github.io/Logging_0181/kartor_geotiff/A 41702-2025 georefererad karta.tif", "A 41702-2025")</f>
        <v/>
      </c>
      <c r="AA55">
        <f>HYPERLINK("https://klasma.github.io/Logging_0181/klagomål/A 41702-2025 FSC-klagomål.docx", "A 41702-2025")</f>
        <v/>
      </c>
      <c r="AB55">
        <f>HYPERLINK("https://klasma.github.io/Logging_0181/klagomålsmail/A 41702-2025 FSC-klagomål mail.docx", "A 41702-2025")</f>
        <v/>
      </c>
      <c r="AC55">
        <f>HYPERLINK("https://klasma.github.io/Logging_0181/tillsyn/A 41702-2025 tillsynsbegäran.docx", "A 41702-2025")</f>
        <v/>
      </c>
      <c r="AD55">
        <f>HYPERLINK("https://klasma.github.io/Logging_0181/tillsynsmail/A 41702-2025 tillsynsbegäran mail.docx", "A 41702-2025")</f>
        <v/>
      </c>
      <c r="AE55">
        <f>HYPERLINK("https://klasma.github.io/Logging_0181/fåglar/A 41702-2025 prioriterade fågelarter.docx", "A 41702-2025")</f>
        <v/>
      </c>
    </row>
    <row r="56" ht="15" customHeight="1">
      <c r="A56" t="inlineStr">
        <is>
          <t>A 36502-2025</t>
        </is>
      </c>
      <c r="B56" t="inlineStr">
        <is>
          <t>avverkningsanmälan</t>
        </is>
      </c>
      <c r="C56" t="inlineStr">
        <is>
          <t>Föryngringsavverkning</t>
        </is>
      </c>
      <c r="D56" s="1" t="n">
        <v>45869</v>
      </c>
      <c r="E56" s="1" t="n">
        <v>46234</v>
      </c>
      <c r="F56" t="inlineStr">
        <is>
          <t>STOCKHOLMS LÄN</t>
        </is>
      </c>
      <c r="G56" t="inlineStr">
        <is>
          <t>SÖDERTÄLJE</t>
        </is>
      </c>
      <c r="H56" t="inlineStr">
        <is>
          <t>Sveaskog</t>
        </is>
      </c>
      <c r="I56" t="n">
        <v>3.3</v>
      </c>
      <c r="J56" t="n">
        <v>1</v>
      </c>
      <c r="K56" t="n">
        <v>0</v>
      </c>
      <c r="L56" t="n">
        <v>0</v>
      </c>
      <c r="M56" t="n">
        <v>0</v>
      </c>
      <c r="N56" t="n">
        <v>0</v>
      </c>
      <c r="O56" t="n">
        <v>0</v>
      </c>
      <c r="P56" t="n">
        <v>0</v>
      </c>
      <c r="Q56" t="n">
        <v>0</v>
      </c>
      <c r="R56" t="n">
        <v>0</v>
      </c>
      <c r="S56" t="n">
        <v>1</v>
      </c>
      <c r="T56" t="n">
        <v>2</v>
      </c>
      <c r="U56" t="n">
        <v>2</v>
      </c>
      <c r="V56" s="2" t="inlineStr">
        <is>
          <t>Tjäder</t>
        </is>
      </c>
      <c r="W56">
        <f>HYPERLINK("https://klasma.github.io/Logging_0181/artfynd/A 36502-2025 artfynd.xlsx", "A 36502-2025")</f>
        <v/>
      </c>
      <c r="X56">
        <f>HYPERLINK("https://klasma.github.io/Logging_0181/kartor/A 36502-2025 karta.png", "A 36502-2025")</f>
        <v/>
      </c>
      <c r="Y56">
        <f>HYPERLINK("https://klasma.github.io/Logging_0181/kartor_geotiff/A 36502-2025 georefererad karta.tif", "A 36502-2025")</f>
        <v/>
      </c>
      <c r="AA56">
        <f>HYPERLINK("https://klasma.github.io/Logging_0181/klagomål/A 36502-2025 FSC-klagomål.docx", "A 36502-2025")</f>
        <v/>
      </c>
      <c r="AB56">
        <f>HYPERLINK("https://klasma.github.io/Logging_0181/klagomålsmail/A 36502-2025 FSC-klagomål mail.docx", "A 36502-2025")</f>
        <v/>
      </c>
      <c r="AC56">
        <f>HYPERLINK("https://klasma.github.io/Logging_0181/tillsyn/A 36502-2025 tillsynsbegäran.docx", "A 36502-2025")</f>
        <v/>
      </c>
      <c r="AD56">
        <f>HYPERLINK("https://klasma.github.io/Logging_0181/tillsynsmail/A 36502-2025 tillsynsbegäran mail.docx", "A 36502-2025")</f>
        <v/>
      </c>
      <c r="AE56">
        <f>HYPERLINK("https://klasma.github.io/Logging_0181/fåglar/A 36502-2025 prioriterade fågelarter.docx", "A 36502-2025")</f>
        <v/>
      </c>
    </row>
    <row r="57" ht="15" customHeight="1">
      <c r="A57" t="inlineStr">
        <is>
          <t>A 36505-2025</t>
        </is>
      </c>
      <c r="B57" t="inlineStr">
        <is>
          <t>avverkningsanmälan</t>
        </is>
      </c>
      <c r="C57" t="inlineStr">
        <is>
          <t>Föryngringsavverkning</t>
        </is>
      </c>
      <c r="D57" s="1" t="n">
        <v>45869</v>
      </c>
      <c r="E57" s="1" t="n">
        <v>46234</v>
      </c>
      <c r="F57" t="inlineStr">
        <is>
          <t>STOCKHOLMS LÄN</t>
        </is>
      </c>
      <c r="G57" t="inlineStr">
        <is>
          <t>SÖDERTÄLJE</t>
        </is>
      </c>
      <c r="H57" t="inlineStr">
        <is>
          <t>Sveaskog</t>
        </is>
      </c>
      <c r="I57" t="n">
        <v>1.7</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HYPERLINK("https://klasma.github.io/Logging_0181/artfynd/A 36505-2025 artfynd.xlsx", "A 36505-2025")</f>
        <v/>
      </c>
      <c r="X57">
        <f>HYPERLINK("https://klasma.github.io/Logging_0181/kartor/A 36505-2025 karta.png", "A 36505-2025")</f>
        <v/>
      </c>
      <c r="Y57">
        <f>HYPERLINK("https://klasma.github.io/Logging_0181/kartor_geotiff/A 36505-2025 georefererad karta.tif", "A 36505-2025")</f>
        <v/>
      </c>
      <c r="AA57">
        <f>HYPERLINK("https://klasma.github.io/Logging_0181/klagomål/A 36505-2025 FSC-klagomål.docx", "A 36505-2025")</f>
        <v/>
      </c>
      <c r="AB57">
        <f>HYPERLINK("https://klasma.github.io/Logging_0181/klagomålsmail/A 36505-2025 FSC-klagomål mail.docx", "A 36505-2025")</f>
        <v/>
      </c>
      <c r="AC57">
        <f>HYPERLINK("https://klasma.github.io/Logging_0181/tillsyn/A 36505-2025 tillsynsbegäran.docx", "A 36505-2025")</f>
        <v/>
      </c>
      <c r="AD57">
        <f>HYPERLINK("https://klasma.github.io/Logging_0181/tillsynsmail/A 36505-2025 tillsynsbegäran mail.docx", "A 36505-2025")</f>
        <v/>
      </c>
    </row>
    <row r="58" ht="15" customHeight="1">
      <c r="A58" t="inlineStr">
        <is>
          <t>A 32044-2023</t>
        </is>
      </c>
      <c r="B58" t="inlineStr">
        <is>
          <t>avverkningsanmälan</t>
        </is>
      </c>
      <c r="C58" t="inlineStr">
        <is>
          <t>Föryngringsavverkning</t>
        </is>
      </c>
      <c r="D58" s="1" t="n">
        <v>45119</v>
      </c>
      <c r="E58" s="1" t="n">
        <v>46234</v>
      </c>
      <c r="F58" t="inlineStr">
        <is>
          <t>STOCKHOLMS LÄN</t>
        </is>
      </c>
      <c r="G58" t="inlineStr">
        <is>
          <t>SÖDERTÄLJE</t>
        </is>
      </c>
      <c r="H58" t="inlineStr">
        <is>
          <t>Sveaskog</t>
        </is>
      </c>
      <c r="I58" t="n">
        <v>1.1</v>
      </c>
      <c r="J58" t="n">
        <v>0</v>
      </c>
      <c r="K58" t="n">
        <v>0</v>
      </c>
      <c r="L58" t="n">
        <v>1</v>
      </c>
      <c r="M58" t="n">
        <v>0</v>
      </c>
      <c r="N58" t="n">
        <v>0</v>
      </c>
      <c r="O58" t="n">
        <v>0</v>
      </c>
      <c r="P58" t="n">
        <v>0</v>
      </c>
      <c r="Q58" t="n">
        <v>1</v>
      </c>
      <c r="R58" t="n">
        <v>0</v>
      </c>
      <c r="S58" t="n">
        <v>1</v>
      </c>
      <c r="T58" t="n">
        <v>2</v>
      </c>
      <c r="U58" t="n">
        <v>0</v>
      </c>
      <c r="V58" s="2" t="inlineStr">
        <is>
          <t>Slåtterfibbla</t>
        </is>
      </c>
      <c r="W58">
        <f>HYPERLINK("https://klasma.github.io/Logging_0181/artfynd/A 32044-2023 artfynd.xlsx", "A 32044-2023")</f>
        <v/>
      </c>
      <c r="X58">
        <f>HYPERLINK("https://klasma.github.io/Logging_0181/kartor/A 32044-2023 karta.png", "A 32044-2023")</f>
        <v/>
      </c>
      <c r="Y58">
        <f>HYPERLINK("https://klasma.github.io/Logging_0181/kartor_geotiff/A 32044-2023 georefererad karta.tif", "A 32044-2023")</f>
        <v/>
      </c>
      <c r="AA58">
        <f>HYPERLINK("https://klasma.github.io/Logging_0181/klagomål/A 32044-2023 FSC-klagomål.docx", "A 32044-2023")</f>
        <v/>
      </c>
      <c r="AB58">
        <f>HYPERLINK("https://klasma.github.io/Logging_0181/klagomålsmail/A 32044-2023 FSC-klagomål mail.docx", "A 32044-2023")</f>
        <v/>
      </c>
      <c r="AC58">
        <f>HYPERLINK("https://klasma.github.io/Logging_0181/tillsyn/A 32044-2023 tillsynsbegäran.docx", "A 32044-2023")</f>
        <v/>
      </c>
      <c r="AD58">
        <f>HYPERLINK("https://klasma.github.io/Logging_0181/tillsynsmail/A 32044-2023 tillsynsbegäran mail.docx", "A 32044-2023")</f>
        <v/>
      </c>
    </row>
    <row r="59" ht="15" customHeight="1">
      <c r="A59" t="inlineStr">
        <is>
          <t>A 12968-2024</t>
        </is>
      </c>
      <c r="B59" t="inlineStr">
        <is>
          <t>avverkningsanmälan</t>
        </is>
      </c>
      <c r="C59" t="inlineStr">
        <is>
          <t>Föryngringsavverkning</t>
        </is>
      </c>
      <c r="D59" s="1" t="n">
        <v>45385</v>
      </c>
      <c r="E59" s="1" t="n">
        <v>46234</v>
      </c>
      <c r="F59" t="inlineStr">
        <is>
          <t>STOCKHOLMS LÄN</t>
        </is>
      </c>
      <c r="G59" t="inlineStr">
        <is>
          <t>SÖDERTÄLJE</t>
        </is>
      </c>
      <c r="H59" t="inlineStr">
        <is>
          <t>Kommuner</t>
        </is>
      </c>
      <c r="I59" t="n">
        <v>5.5</v>
      </c>
      <c r="J59" t="n">
        <v>0</v>
      </c>
      <c r="K59" t="n">
        <v>0</v>
      </c>
      <c r="L59" t="n">
        <v>0</v>
      </c>
      <c r="M59" t="n">
        <v>0</v>
      </c>
      <c r="N59" t="n">
        <v>1</v>
      </c>
      <c r="O59" t="n">
        <v>0</v>
      </c>
      <c r="P59" t="n">
        <v>0</v>
      </c>
      <c r="Q59" t="n">
        <v>1</v>
      </c>
      <c r="R59" t="n">
        <v>1</v>
      </c>
      <c r="S59" t="n">
        <v>1</v>
      </c>
      <c r="T59" t="n">
        <v>6</v>
      </c>
      <c r="U59" t="n">
        <v>0</v>
      </c>
      <c r="V59" s="2" t="inlineStr">
        <is>
          <t>Ask</t>
        </is>
      </c>
      <c r="W59">
        <f>HYPERLINK("https://klasma.github.io/Logging_0181/artfynd/A 12968-2024 artfynd.xlsx", "A 12968-2024")</f>
        <v/>
      </c>
      <c r="X59">
        <f>HYPERLINK("https://klasma.github.io/Logging_0181/kartor/A 12968-2024 karta.png", "A 12968-2024")</f>
        <v/>
      </c>
      <c r="Y59">
        <f>HYPERLINK("https://klasma.github.io/Logging_0181/kartor_geotiff/A 12968-2024 georefererad karta.tif", "A 12968-2024")</f>
        <v/>
      </c>
      <c r="AA59">
        <f>HYPERLINK("https://klasma.github.io/Logging_0181/klagomål/A 12968-2024 FSC-klagomål.docx", "A 12968-2024")</f>
        <v/>
      </c>
      <c r="AB59">
        <f>HYPERLINK("https://klasma.github.io/Logging_0181/klagomålsmail/A 12968-2024 FSC-klagomål mail.docx", "A 12968-2024")</f>
        <v/>
      </c>
      <c r="AC59">
        <f>HYPERLINK("https://klasma.github.io/Logging_0181/tillsyn/A 12968-2024 tillsynsbegäran.docx", "A 12968-2024")</f>
        <v/>
      </c>
      <c r="AD59">
        <f>HYPERLINK("https://klasma.github.io/Logging_0181/tillsynsmail/A 12968-2024 tillsynsbegäran mail.docx", "A 12968-2024")</f>
        <v/>
      </c>
    </row>
    <row r="60" ht="15" customHeight="1">
      <c r="A60" t="inlineStr">
        <is>
          <t>A 51087-2023</t>
        </is>
      </c>
      <c r="B60" t="inlineStr">
        <is>
          <t>avverkningsanmälan</t>
        </is>
      </c>
      <c r="C60" t="inlineStr">
        <is>
          <t>Föryngringsavverkning</t>
        </is>
      </c>
      <c r="D60" s="1" t="n">
        <v>45218</v>
      </c>
      <c r="E60" s="1" t="n">
        <v>46234</v>
      </c>
      <c r="F60" t="inlineStr">
        <is>
          <t>STOCKHOLMS LÄN</t>
        </is>
      </c>
      <c r="G60" t="inlineStr">
        <is>
          <t>SÖDERTÄLJE</t>
        </is>
      </c>
      <c r="I60" t="n">
        <v>4.2</v>
      </c>
      <c r="J60" t="n">
        <v>1</v>
      </c>
      <c r="K60" t="n">
        <v>0</v>
      </c>
      <c r="L60" t="n">
        <v>0</v>
      </c>
      <c r="M60" t="n">
        <v>0</v>
      </c>
      <c r="N60" t="n">
        <v>0</v>
      </c>
      <c r="O60" t="n">
        <v>0</v>
      </c>
      <c r="P60" t="n">
        <v>0</v>
      </c>
      <c r="Q60" t="n">
        <v>0</v>
      </c>
      <c r="R60" t="n">
        <v>0</v>
      </c>
      <c r="S60" t="n">
        <v>1</v>
      </c>
      <c r="T60" t="n">
        <v>1</v>
      </c>
      <c r="U60" t="n">
        <v>1</v>
      </c>
      <c r="V60" s="2" t="inlineStr">
        <is>
          <t>Kopparödla</t>
        </is>
      </c>
      <c r="W60">
        <f>HYPERLINK("https://klasma.github.io/Logging_0181/artfynd/A 51087-2023 artfynd.xlsx", "A 51087-2023")</f>
        <v/>
      </c>
      <c r="X60">
        <f>HYPERLINK("https://klasma.github.io/Logging_0181/kartor/A 51087-2023 karta.png", "A 51087-2023")</f>
        <v/>
      </c>
      <c r="Y60">
        <f>HYPERLINK("https://klasma.github.io/Logging_0181/kartor_geotiff/A 51087-2023 georefererad karta.tif", "A 51087-2023")</f>
        <v/>
      </c>
      <c r="AA60">
        <f>HYPERLINK("https://klasma.github.io/Logging_0181/klagomål/A 51087-2023 FSC-klagomål.docx", "A 51087-2023")</f>
        <v/>
      </c>
      <c r="AB60">
        <f>HYPERLINK("https://klasma.github.io/Logging_0181/klagomålsmail/A 51087-2023 FSC-klagomål mail.docx", "A 51087-2023")</f>
        <v/>
      </c>
      <c r="AC60">
        <f>HYPERLINK("https://klasma.github.io/Logging_0181/tillsyn/A 51087-2023 tillsynsbegäran.docx", "A 51087-2023")</f>
        <v/>
      </c>
      <c r="AD60">
        <f>HYPERLINK("https://klasma.github.io/Logging_0181/tillsynsmail/A 51087-2023 tillsynsbegäran mail.docx", "A 51087-2023")</f>
        <v/>
      </c>
    </row>
    <row r="61" ht="15" customHeight="1">
      <c r="A61" t="inlineStr">
        <is>
          <t>A 14092-2023</t>
        </is>
      </c>
      <c r="B61" t="inlineStr">
        <is>
          <t>avverkningsanmälan</t>
        </is>
      </c>
      <c r="C61" t="inlineStr">
        <is>
          <t>Föryngringsavverkning</t>
        </is>
      </c>
      <c r="D61" s="1" t="n">
        <v>45009</v>
      </c>
      <c r="E61" s="1" t="n">
        <v>46234</v>
      </c>
      <c r="F61" t="inlineStr">
        <is>
          <t>STOCKHOLMS LÄN</t>
        </is>
      </c>
      <c r="G61" t="inlineStr">
        <is>
          <t>SÖDERTÄLJE</t>
        </is>
      </c>
      <c r="H61" t="inlineStr">
        <is>
          <t>Kyrkan</t>
        </is>
      </c>
      <c r="I61" t="n">
        <v>4.1</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HYPERLINK("https://klasma.github.io/Logging_0181/artfynd/A 14092-2023 artfynd.xlsx", "A 14092-2023")</f>
        <v/>
      </c>
      <c r="X61">
        <f>HYPERLINK("https://klasma.github.io/Logging_0181/kartor/A 14092-2023 karta.png", "A 14092-2023")</f>
        <v/>
      </c>
      <c r="Y61">
        <f>HYPERLINK("https://klasma.github.io/Logging_0181/kartor_geotiff/A 14092-2023 georefererad karta.tif", "A 14092-2023")</f>
        <v/>
      </c>
      <c r="AA61">
        <f>HYPERLINK("https://klasma.github.io/Logging_0181/klagomål/A 14092-2023 FSC-klagomål.docx", "A 14092-2023")</f>
        <v/>
      </c>
      <c r="AB61">
        <f>HYPERLINK("https://klasma.github.io/Logging_0181/klagomålsmail/A 14092-2023 FSC-klagomål mail.docx", "A 14092-2023")</f>
        <v/>
      </c>
      <c r="AC61">
        <f>HYPERLINK("https://klasma.github.io/Logging_0181/tillsyn/A 14092-2023 tillsynsbegäran.docx", "A 14092-2023")</f>
        <v/>
      </c>
      <c r="AD61">
        <f>HYPERLINK("https://klasma.github.io/Logging_0181/tillsynsmail/A 14092-2023 tillsynsbegäran mail.docx", "A 14092-2023")</f>
        <v/>
      </c>
    </row>
    <row r="62" ht="15" customHeight="1">
      <c r="A62" t="inlineStr">
        <is>
          <t>A 26902-2024</t>
        </is>
      </c>
      <c r="B62" t="inlineStr">
        <is>
          <t>avverkningsanmälan</t>
        </is>
      </c>
      <c r="C62" t="inlineStr">
        <is>
          <t>Föryngringsavverkning</t>
        </is>
      </c>
      <c r="D62" s="1" t="n">
        <v>45470</v>
      </c>
      <c r="E62" s="1" t="n">
        <v>46234</v>
      </c>
      <c r="F62" t="inlineStr">
        <is>
          <t>STOCKHOLMS LÄN</t>
        </is>
      </c>
      <c r="G62" t="inlineStr">
        <is>
          <t>SÖDERTÄLJE</t>
        </is>
      </c>
      <c r="H62" t="inlineStr">
        <is>
          <t>Kommuner</t>
        </is>
      </c>
      <c r="I62" t="n">
        <v>3.5</v>
      </c>
      <c r="J62" t="n">
        <v>0</v>
      </c>
      <c r="K62" t="n">
        <v>0</v>
      </c>
      <c r="L62" t="n">
        <v>1</v>
      </c>
      <c r="M62" t="n">
        <v>0</v>
      </c>
      <c r="N62" t="n">
        <v>0</v>
      </c>
      <c r="O62" t="n">
        <v>0</v>
      </c>
      <c r="P62" t="n">
        <v>0</v>
      </c>
      <c r="Q62" t="n">
        <v>1</v>
      </c>
      <c r="R62" t="n">
        <v>0</v>
      </c>
      <c r="S62" t="n">
        <v>1</v>
      </c>
      <c r="T62" t="n">
        <v>3</v>
      </c>
      <c r="U62" t="n">
        <v>3</v>
      </c>
      <c r="V62" s="2" t="inlineStr">
        <is>
          <t>Persiljespindling</t>
        </is>
      </c>
      <c r="W62">
        <f>HYPERLINK("https://klasma.github.io/Logging_0181/artfynd/A 26902-2024 artfynd.xlsx", "A 26902-2024")</f>
        <v/>
      </c>
      <c r="X62">
        <f>HYPERLINK("https://klasma.github.io/Logging_0181/kartor/A 26902-2024 karta.png", "A 26902-2024")</f>
        <v/>
      </c>
      <c r="Y62">
        <f>HYPERLINK("https://klasma.github.io/Logging_0181/kartor_geotiff/A 26902-2024 georefererad karta.tif", "A 26902-2024")</f>
        <v/>
      </c>
      <c r="AA62">
        <f>HYPERLINK("https://klasma.github.io/Logging_0181/klagomål/A 26902-2024 FSC-klagomål.docx", "A 26902-2024")</f>
        <v/>
      </c>
      <c r="AB62">
        <f>HYPERLINK("https://klasma.github.io/Logging_0181/klagomålsmail/A 26902-2024 FSC-klagomål mail.docx", "A 26902-2024")</f>
        <v/>
      </c>
      <c r="AC62">
        <f>HYPERLINK("https://klasma.github.io/Logging_0181/tillsyn/A 26902-2024 tillsynsbegäran.docx", "A 26902-2024")</f>
        <v/>
      </c>
      <c r="AD62">
        <f>HYPERLINK("https://klasma.github.io/Logging_0181/tillsynsmail/A 26902-2024 tillsynsbegäran mail.docx", "A 26902-2024")</f>
        <v/>
      </c>
    </row>
    <row r="63" ht="15" customHeight="1">
      <c r="A63" t="inlineStr">
        <is>
          <t>A 1946-2022</t>
        </is>
      </c>
      <c r="B63" t="inlineStr">
        <is>
          <t>avverkningsanmälan</t>
        </is>
      </c>
      <c r="C63" t="inlineStr">
        <is>
          <t>Föryngringsavverkning</t>
        </is>
      </c>
      <c r="D63" s="1" t="n">
        <v>44575</v>
      </c>
      <c r="E63" s="1" t="n">
        <v>46234</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19793-2024</t>
        </is>
      </c>
      <c r="B64" t="inlineStr">
        <is>
          <t>avverkningsanmälan</t>
        </is>
      </c>
      <c r="C64" t="inlineStr">
        <is>
          <t>Avverkning för annat ändamål</t>
        </is>
      </c>
      <c r="D64" s="1" t="n">
        <v>45432</v>
      </c>
      <c r="E64" s="1" t="n">
        <v>46234</v>
      </c>
      <c r="F64" t="inlineStr">
        <is>
          <t>STOCKHOLMS LÄN</t>
        </is>
      </c>
      <c r="G64" t="inlineStr">
        <is>
          <t>SÖDERTÄLJE</t>
        </is>
      </c>
      <c r="H64" t="inlineStr">
        <is>
          <t>Övriga Aktiebolag</t>
        </is>
      </c>
      <c r="I64" t="n">
        <v>4.1</v>
      </c>
      <c r="J64" t="n">
        <v>0</v>
      </c>
      <c r="K64" t="n">
        <v>0</v>
      </c>
      <c r="L64" t="n">
        <v>1</v>
      </c>
      <c r="M64" t="n">
        <v>0</v>
      </c>
      <c r="N64" t="n">
        <v>0</v>
      </c>
      <c r="O64" t="n">
        <v>0</v>
      </c>
      <c r="P64" t="n">
        <v>0</v>
      </c>
      <c r="Q64" t="n">
        <v>1</v>
      </c>
      <c r="R64" t="n">
        <v>0</v>
      </c>
      <c r="S64" t="n">
        <v>1</v>
      </c>
      <c r="T64" t="n">
        <v>1</v>
      </c>
      <c r="U64" t="n">
        <v>0</v>
      </c>
      <c r="V64" s="2" t="inlineStr">
        <is>
          <t>Fjällig taggsvamp s.str.</t>
        </is>
      </c>
      <c r="W64">
        <f>HYPERLINK("https://klasma.github.io/Logging_0181/artfynd/A 19793-2024 artfynd.xlsx", "A 19793-2024")</f>
        <v/>
      </c>
      <c r="X64">
        <f>HYPERLINK("https://klasma.github.io/Logging_0181/kartor/A 19793-2024 karta.png", "A 19793-2024")</f>
        <v/>
      </c>
      <c r="Y64">
        <f>HYPERLINK("https://klasma.github.io/Logging_0181/kartor_geotiff/A 19793-2024 georefererad karta.tif", "A 19793-2024")</f>
        <v/>
      </c>
      <c r="AA64">
        <f>HYPERLINK("https://klasma.github.io/Logging_0181/klagomål/A 19793-2024 FSC-klagomål.docx", "A 19793-2024")</f>
        <v/>
      </c>
      <c r="AB64">
        <f>HYPERLINK("https://klasma.github.io/Logging_0181/klagomålsmail/A 19793-2024 FSC-klagomål mail.docx", "A 19793-2024")</f>
        <v/>
      </c>
      <c r="AC64">
        <f>HYPERLINK("https://klasma.github.io/Logging_0181/tillsyn/A 19793-2024 tillsynsbegäran.docx", "A 19793-2024")</f>
        <v/>
      </c>
      <c r="AD64">
        <f>HYPERLINK("https://klasma.github.io/Logging_0181/tillsynsmail/A 19793-2024 tillsynsbegäran mail.docx", "A 19793-2024")</f>
        <v/>
      </c>
    </row>
    <row r="65" ht="15" customHeight="1">
      <c r="A65" t="inlineStr">
        <is>
          <t>A 56596-2023</t>
        </is>
      </c>
      <c r="B65" t="inlineStr">
        <is>
          <t>avverkningsanmälan</t>
        </is>
      </c>
      <c r="C65" t="inlineStr">
        <is>
          <t>Föryngringsavverkning</t>
        </is>
      </c>
      <c r="D65" s="1" t="n">
        <v>45243</v>
      </c>
      <c r="E65" s="1" t="n">
        <v>46234</v>
      </c>
      <c r="F65" t="inlineStr">
        <is>
          <t>STOCKHOLMS LÄN</t>
        </is>
      </c>
      <c r="G65" t="inlineStr">
        <is>
          <t>SÖDERTÄLJE</t>
        </is>
      </c>
      <c r="I65" t="n">
        <v>1.6</v>
      </c>
      <c r="J65" t="n">
        <v>0</v>
      </c>
      <c r="K65" t="n">
        <v>1</v>
      </c>
      <c r="L65" t="n">
        <v>0</v>
      </c>
      <c r="M65" t="n">
        <v>0</v>
      </c>
      <c r="N65" t="n">
        <v>0</v>
      </c>
      <c r="O65" t="n">
        <v>0</v>
      </c>
      <c r="P65" t="n">
        <v>0</v>
      </c>
      <c r="Q65" t="n">
        <v>0</v>
      </c>
      <c r="R65" t="n">
        <v>0</v>
      </c>
      <c r="S65" t="n">
        <v>1</v>
      </c>
      <c r="T65" t="n">
        <v>1</v>
      </c>
      <c r="U65" t="n">
        <v>0</v>
      </c>
      <c r="V65" s="2" t="inlineStr">
        <is>
          <t>Jättesvampmal</t>
        </is>
      </c>
      <c r="W65">
        <f>HYPERLINK("https://klasma.github.io/Logging_0181/artfynd/A 56596-2023 artfynd.xlsx", "A 56596-2023")</f>
        <v/>
      </c>
      <c r="X65">
        <f>HYPERLINK("https://klasma.github.io/Logging_0181/kartor/A 56596-2023 karta.png", "A 56596-2023")</f>
        <v/>
      </c>
      <c r="Y65">
        <f>HYPERLINK("https://klasma.github.io/Logging_0181/kartor_geotiff/A 56596-2023 georefererad karta.tif", "A 56596-2023")</f>
        <v/>
      </c>
      <c r="AA65">
        <f>HYPERLINK("https://klasma.github.io/Logging_0181/klagomål/A 56596-2023 FSC-klagomål.docx", "A 56596-2023")</f>
        <v/>
      </c>
      <c r="AB65">
        <f>HYPERLINK("https://klasma.github.io/Logging_0181/klagomålsmail/A 56596-2023 FSC-klagomål mail.docx", "A 56596-2023")</f>
        <v/>
      </c>
      <c r="AC65">
        <f>HYPERLINK("https://klasma.github.io/Logging_0181/tillsyn/A 56596-2023 tillsynsbegäran.docx", "A 56596-2023")</f>
        <v/>
      </c>
      <c r="AD65">
        <f>HYPERLINK("https://klasma.github.io/Logging_0181/tillsynsmail/A 56596-2023 tillsynsbegäran mail.docx", "A 56596-2023")</f>
        <v/>
      </c>
    </row>
    <row r="66" ht="15" customHeight="1">
      <c r="A66" t="inlineStr">
        <is>
          <t>A 30565-2026</t>
        </is>
      </c>
      <c r="B66" t="inlineStr">
        <is>
          <t>avverkningsanmälan</t>
        </is>
      </c>
      <c r="C66" t="inlineStr">
        <is>
          <t>Föryngringsavverkning</t>
        </is>
      </c>
      <c r="D66" s="1" t="n">
        <v>46210</v>
      </c>
      <c r="E66" s="1" t="n">
        <v>46234</v>
      </c>
      <c r="F66" t="inlineStr">
        <is>
          <t>STOCKHOLMS LÄN</t>
        </is>
      </c>
      <c r="G66" t="inlineStr">
        <is>
          <t>SÖDERTÄLJE</t>
        </is>
      </c>
      <c r="H66" t="inlineStr">
        <is>
          <t>Sveaskog</t>
        </is>
      </c>
      <c r="I66" t="n">
        <v>2.4</v>
      </c>
      <c r="J66" t="n">
        <v>0</v>
      </c>
      <c r="K66" t="n">
        <v>0</v>
      </c>
      <c r="L66" t="n">
        <v>1</v>
      </c>
      <c r="M66" t="n">
        <v>0</v>
      </c>
      <c r="N66" t="n">
        <v>0</v>
      </c>
      <c r="O66" t="n">
        <v>0</v>
      </c>
      <c r="P66" t="n">
        <v>0</v>
      </c>
      <c r="Q66" t="n">
        <v>1</v>
      </c>
      <c r="R66" t="n">
        <v>0</v>
      </c>
      <c r="S66" t="n">
        <v>1</v>
      </c>
      <c r="T66" t="n">
        <v>1</v>
      </c>
      <c r="U66" t="n">
        <v>0</v>
      </c>
      <c r="V66" s="2" t="inlineStr">
        <is>
          <t>Svinrot</t>
        </is>
      </c>
      <c r="W66">
        <f>HYPERLINK("https://klasma.github.io/Logging_0181/artfynd/A 30565-2026 artfynd.xlsx", "A 30565-2026")</f>
        <v/>
      </c>
      <c r="X66">
        <f>HYPERLINK("https://klasma.github.io/Logging_0181/kartor/A 30565-2026 karta.png", "A 30565-2026")</f>
        <v/>
      </c>
      <c r="Y66">
        <f>HYPERLINK("https://klasma.github.io/Logging_0181/kartor_geotiff/A 30565-2026 georefererad karta.tif", "A 30565-2026")</f>
        <v/>
      </c>
      <c r="AA66">
        <f>HYPERLINK("https://klasma.github.io/Logging_0181/klagomål/A 30565-2026 FSC-klagomål.docx", "A 30565-2026")</f>
        <v/>
      </c>
      <c r="AB66">
        <f>HYPERLINK("https://klasma.github.io/Logging_0181/klagomålsmail/A 30565-2026 FSC-klagomål mail.docx", "A 30565-2026")</f>
        <v/>
      </c>
      <c r="AC66">
        <f>HYPERLINK("https://klasma.github.io/Logging_0181/tillsyn/A 30565-2026 tillsynsbegäran.docx", "A 30565-2026")</f>
        <v/>
      </c>
      <c r="AD66">
        <f>HYPERLINK("https://klasma.github.io/Logging_0181/tillsynsmail/A 30565-2026 tillsynsbegäran mail.docx", "A 30565-2026")</f>
        <v/>
      </c>
    </row>
    <row r="67" ht="15" customHeight="1">
      <c r="A67" t="inlineStr">
        <is>
          <t>A 52046-2022</t>
        </is>
      </c>
      <c r="B67" t="inlineStr">
        <is>
          <t>avverkningsanmälan</t>
        </is>
      </c>
      <c r="C67" t="inlineStr">
        <is>
          <t>Föryngringsavverkning</t>
        </is>
      </c>
      <c r="D67" s="1" t="n">
        <v>44868</v>
      </c>
      <c r="E67" s="1" t="n">
        <v>46234</v>
      </c>
      <c r="F67" t="inlineStr">
        <is>
          <t>STOCKHOLMS LÄN</t>
        </is>
      </c>
      <c r="G67" t="inlineStr">
        <is>
          <t>SÖDERTÄLJE</t>
        </is>
      </c>
      <c r="H67" t="inlineStr">
        <is>
          <t>Kommuner</t>
        </is>
      </c>
      <c r="I67" t="n">
        <v>8.4</v>
      </c>
      <c r="J67" t="n">
        <v>0</v>
      </c>
      <c r="K67" t="n">
        <v>0</v>
      </c>
      <c r="L67" t="n">
        <v>1</v>
      </c>
      <c r="M67" t="n">
        <v>0</v>
      </c>
      <c r="N67" t="n">
        <v>0</v>
      </c>
      <c r="O67" t="n">
        <v>0</v>
      </c>
      <c r="P67" t="n">
        <v>0</v>
      </c>
      <c r="Q67" t="n">
        <v>1</v>
      </c>
      <c r="R67" t="n">
        <v>0</v>
      </c>
      <c r="S67" t="n">
        <v>1</v>
      </c>
      <c r="T67" t="n">
        <v>1</v>
      </c>
      <c r="U67" t="n">
        <v>0</v>
      </c>
      <c r="V67" s="2" t="inlineStr">
        <is>
          <t>Tjockfotad fingersvamp</t>
        </is>
      </c>
      <c r="W67">
        <f>HYPERLINK("https://klasma.github.io/Logging_0181/artfynd/A 52046-2022 artfynd.xlsx", "A 52046-2022")</f>
        <v/>
      </c>
      <c r="X67">
        <f>HYPERLINK("https://klasma.github.io/Logging_0181/kartor/A 52046-2022 karta.png", "A 52046-2022")</f>
        <v/>
      </c>
      <c r="Y67">
        <f>HYPERLINK("https://klasma.github.io/Logging_0181/kartor_geotiff/A 52046-2022 georefererad karta.tif", "A 52046-2022")</f>
        <v/>
      </c>
      <c r="AA67">
        <f>HYPERLINK("https://klasma.github.io/Logging_0181/klagomål/A 52046-2022 FSC-klagomål.docx", "A 52046-2022")</f>
        <v/>
      </c>
      <c r="AB67">
        <f>HYPERLINK("https://klasma.github.io/Logging_0181/klagomålsmail/A 52046-2022 FSC-klagomål mail.docx", "A 52046-2022")</f>
        <v/>
      </c>
      <c r="AC67">
        <f>HYPERLINK("https://klasma.github.io/Logging_0181/tillsyn/A 52046-2022 tillsynsbegäran.docx", "A 52046-2022")</f>
        <v/>
      </c>
      <c r="AD67">
        <f>HYPERLINK("https://klasma.github.io/Logging_0181/tillsynsmail/A 52046-2022 tillsynsbegäran mail.docx", "A 52046-2022")</f>
        <v/>
      </c>
    </row>
    <row r="68" ht="15" customHeight="1">
      <c r="A68" t="inlineStr">
        <is>
          <t>S 2459-2025</t>
        </is>
      </c>
      <c r="B68" t="inlineStr">
        <is>
          <t>samrådsanmälan</t>
        </is>
      </c>
      <c r="C68" t="inlineStr">
        <is>
          <t>Annan skogsbruksåtgärd</t>
        </is>
      </c>
      <c r="D68" s="1" t="n">
        <v>45901</v>
      </c>
      <c r="E68" s="1" t="n">
        <v>46234</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46234</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46234</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46234</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46234</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46234</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46234</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46234</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46234</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46234</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46234</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46234</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46688-2021</t>
        </is>
      </c>
      <c r="B80" t="inlineStr">
        <is>
          <t>avverkningsanmälan</t>
        </is>
      </c>
      <c r="C80" t="inlineStr">
        <is>
          <t>Föryngringsavverkning</t>
        </is>
      </c>
      <c r="D80" s="1" t="n">
        <v>44445</v>
      </c>
      <c r="E80" s="1" t="n">
        <v>46234</v>
      </c>
      <c r="F80" t="inlineStr">
        <is>
          <t>STOCKHOLMS LÄN</t>
        </is>
      </c>
      <c r="G80" t="inlineStr">
        <is>
          <t>SÖDERTÄLJE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3585-2022</t>
        </is>
      </c>
      <c r="B81" t="inlineStr">
        <is>
          <t>avverkningsanmälan</t>
        </is>
      </c>
      <c r="C81" t="inlineStr">
        <is>
          <t>Föryngringsavverkning</t>
        </is>
      </c>
      <c r="D81" s="1" t="n">
        <v>44586</v>
      </c>
      <c r="E81" s="1" t="n">
        <v>46234</v>
      </c>
      <c r="F81" t="inlineStr">
        <is>
          <t>STOCKHOLMS LÄN</t>
        </is>
      </c>
      <c r="G81" t="inlineStr">
        <is>
          <t>SÖDERTÄLJE</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62311-2023</t>
        </is>
      </c>
      <c r="B82" t="inlineStr">
        <is>
          <t>avverkningsanmälan</t>
        </is>
      </c>
      <c r="C82" t="inlineStr">
        <is>
          <t>Föryngringsavverkning</t>
        </is>
      </c>
      <c r="D82" s="1" t="n">
        <v>45266</v>
      </c>
      <c r="E82" s="1" t="n">
        <v>46234</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23367-2024</t>
        </is>
      </c>
      <c r="B83" t="inlineStr">
        <is>
          <t>avverkningsanmälan</t>
        </is>
      </c>
      <c r="C83" t="inlineStr">
        <is>
          <t>Avverkning för annat ändamål</t>
        </is>
      </c>
      <c r="D83" s="1" t="n">
        <v>45453</v>
      </c>
      <c r="E83" s="1" t="n">
        <v>46234</v>
      </c>
      <c r="F83" t="inlineStr">
        <is>
          <t>STOCKHOLMS LÄN</t>
        </is>
      </c>
      <c r="G83" t="inlineStr">
        <is>
          <t>SÖDERTÄLJE</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9891-2025</t>
        </is>
      </c>
      <c r="B84" t="inlineStr">
        <is>
          <t>avverkningsanmälan</t>
        </is>
      </c>
      <c r="C84" t="inlineStr">
        <is>
          <t>Föryngringsavverkning</t>
        </is>
      </c>
      <c r="D84" s="1" t="n">
        <v>45716</v>
      </c>
      <c r="E84" s="1" t="n">
        <v>46234</v>
      </c>
      <c r="F84" t="inlineStr">
        <is>
          <t>STOCKHOLMS LÄN</t>
        </is>
      </c>
      <c r="G84" t="inlineStr">
        <is>
          <t>SÖDERTÄLJE</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48046-2025</t>
        </is>
      </c>
      <c r="B85" t="inlineStr">
        <is>
          <t>avverkningsanmälan</t>
        </is>
      </c>
      <c r="C85" t="inlineStr">
        <is>
          <t>Föryngringsavverkning</t>
        </is>
      </c>
      <c r="D85" s="1" t="n">
        <v>45932</v>
      </c>
      <c r="E85" s="1" t="n">
        <v>46234</v>
      </c>
      <c r="F85" t="inlineStr">
        <is>
          <t>STOCKHOLMS LÄN</t>
        </is>
      </c>
      <c r="G85" t="inlineStr">
        <is>
          <t>SÖDERTÄLJE</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21726-2025</t>
        </is>
      </c>
      <c r="B86" t="inlineStr">
        <is>
          <t>avverkningsanmälan</t>
        </is>
      </c>
      <c r="C86" t="inlineStr">
        <is>
          <t>Föryngringsavverkning</t>
        </is>
      </c>
      <c r="D86" s="1" t="n">
        <v>45783</v>
      </c>
      <c r="E86" s="1" t="n">
        <v>46234</v>
      </c>
      <c r="F86" t="inlineStr">
        <is>
          <t>STOCKHOLMS LÄN</t>
        </is>
      </c>
      <c r="G86" t="inlineStr">
        <is>
          <t>SÖDERTÄLJE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47977-2022</t>
        </is>
      </c>
      <c r="B87" t="inlineStr">
        <is>
          <t>avverkningsanmälan</t>
        </is>
      </c>
      <c r="C87" t="inlineStr">
        <is>
          <t>Föryngringsavverkning</t>
        </is>
      </c>
      <c r="D87" s="1" t="n">
        <v>44855</v>
      </c>
      <c r="E87" s="1" t="n">
        <v>46234</v>
      </c>
      <c r="F87" t="inlineStr">
        <is>
          <t>STOCKHOLMS LÄN</t>
        </is>
      </c>
      <c r="G87" t="inlineStr">
        <is>
          <t>SÖDERTÄLJE</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27970-2022</t>
        </is>
      </c>
      <c r="B88" t="inlineStr">
        <is>
          <t>avverkningsanmälan</t>
        </is>
      </c>
      <c r="C88" t="inlineStr">
        <is>
          <t>Föryngringsavverkning</t>
        </is>
      </c>
      <c r="D88" s="1" t="n">
        <v>44744</v>
      </c>
      <c r="E88" s="1" t="n">
        <v>46234</v>
      </c>
      <c r="F88" t="inlineStr">
        <is>
          <t>STOCKHOLMS LÄN</t>
        </is>
      </c>
      <c r="G88" t="inlineStr">
        <is>
          <t>SÖDERTÄLJE</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17979-2024</t>
        </is>
      </c>
      <c r="B89" t="inlineStr">
        <is>
          <t>avverkningsanmälan</t>
        </is>
      </c>
      <c r="C89" t="inlineStr">
        <is>
          <t>Föryngringsavverkning</t>
        </is>
      </c>
      <c r="D89" s="1" t="n">
        <v>45419</v>
      </c>
      <c r="E89" s="1" t="n">
        <v>46234</v>
      </c>
      <c r="F89" t="inlineStr">
        <is>
          <t>STOCKHOLMS LÄN</t>
        </is>
      </c>
      <c r="G89" t="inlineStr">
        <is>
          <t>SÖDERTÄLJE</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19210-2024</t>
        </is>
      </c>
      <c r="B90" t="inlineStr">
        <is>
          <t>avverkningsanmälan</t>
        </is>
      </c>
      <c r="C90" t="inlineStr">
        <is>
          <t>Avverkning för att bevara och utveckla /försöksver</t>
        </is>
      </c>
      <c r="D90" s="1" t="n">
        <v>45428</v>
      </c>
      <c r="E90" s="1" t="n">
        <v>46234</v>
      </c>
      <c r="F90" t="inlineStr">
        <is>
          <t>STOCKHOLMS LÄN</t>
        </is>
      </c>
      <c r="G90" t="inlineStr">
        <is>
          <t>SÖDERTÄLJE</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51353-2024</t>
        </is>
      </c>
      <c r="B91" t="inlineStr">
        <is>
          <t>avverkningsanmälan</t>
        </is>
      </c>
      <c r="C91" t="inlineStr">
        <is>
          <t>Föryngringsavverkning</t>
        </is>
      </c>
      <c r="D91" s="1" t="n">
        <v>45604</v>
      </c>
      <c r="E91" s="1" t="n">
        <v>46234</v>
      </c>
      <c r="F91" t="inlineStr">
        <is>
          <t>STOCKHOLMS LÄN</t>
        </is>
      </c>
      <c r="G91" t="inlineStr">
        <is>
          <t>SÖDERTÄLJE</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11319-2024</t>
        </is>
      </c>
      <c r="B92" t="inlineStr">
        <is>
          <t>avverkningsanmälan</t>
        </is>
      </c>
      <c r="C92" t="inlineStr">
        <is>
          <t>Föryngringsavverkning</t>
        </is>
      </c>
      <c r="D92" s="1" t="n">
        <v>45371</v>
      </c>
      <c r="E92" s="1" t="n">
        <v>46234</v>
      </c>
      <c r="F92" t="inlineStr">
        <is>
          <t>STOCKHOLMS LÄN</t>
        </is>
      </c>
      <c r="G92" t="inlineStr">
        <is>
          <t>SÖDERTÄLJE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46671-2021</t>
        </is>
      </c>
      <c r="B93" t="inlineStr">
        <is>
          <t>avverkningsanmälan</t>
        </is>
      </c>
      <c r="C93" t="inlineStr">
        <is>
          <t>Föryngringsavverkning</t>
        </is>
      </c>
      <c r="D93" s="1" t="n">
        <v>44445</v>
      </c>
      <c r="E93" s="1" t="n">
        <v>46234</v>
      </c>
      <c r="F93" t="inlineStr">
        <is>
          <t>STOCKHOLMS LÄN</t>
        </is>
      </c>
      <c r="G93" t="inlineStr">
        <is>
          <t>SÖDERTÄLJE</t>
        </is>
      </c>
      <c r="I93" t="n">
        <v>8.1</v>
      </c>
      <c r="J93" t="n">
        <v>0</v>
      </c>
      <c r="K93" t="n">
        <v>0</v>
      </c>
      <c r="L93" t="n">
        <v>0</v>
      </c>
      <c r="M93" t="n">
        <v>0</v>
      </c>
      <c r="N93" t="n">
        <v>0</v>
      </c>
      <c r="O93" t="n">
        <v>0</v>
      </c>
      <c r="P93" t="n">
        <v>0</v>
      </c>
      <c r="Q93" t="n">
        <v>0</v>
      </c>
      <c r="R93" t="n">
        <v>0</v>
      </c>
      <c r="S93" t="n">
        <v>0</v>
      </c>
      <c r="T93" t="n">
        <v>0</v>
      </c>
      <c r="U93" t="n">
        <v>0</v>
      </c>
      <c r="V93" s="2" t="inlineStr"/>
    </row>
    <row r="94" ht="15" customHeight="1">
      <c r="A94" t="inlineStr">
        <is>
          <t>A 56349-2023</t>
        </is>
      </c>
      <c r="B94" t="inlineStr">
        <is>
          <t>avverkningsanmälan</t>
        </is>
      </c>
      <c r="C94" t="inlineStr">
        <is>
          <t>Föryngringsavverkning</t>
        </is>
      </c>
      <c r="D94" s="1" t="n">
        <v>45243</v>
      </c>
      <c r="E94" s="1" t="n">
        <v>46234</v>
      </c>
      <c r="F94" t="inlineStr">
        <is>
          <t>STOCKHOLMS LÄN</t>
        </is>
      </c>
      <c r="G94" t="inlineStr">
        <is>
          <t>SÖDERTÄLJE</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41111-2023</t>
        </is>
      </c>
      <c r="B95" t="inlineStr">
        <is>
          <t>avverkningsanmälan</t>
        </is>
      </c>
      <c r="C95" t="inlineStr">
        <is>
          <t>Föryngringsavverkning</t>
        </is>
      </c>
      <c r="D95" s="1" t="n">
        <v>45173</v>
      </c>
      <c r="E95" s="1" t="n">
        <v>46234</v>
      </c>
      <c r="F95" t="inlineStr">
        <is>
          <t>STOCKHOLMS LÄN</t>
        </is>
      </c>
      <c r="G95" t="inlineStr">
        <is>
          <t>SÖDERTÄLJE</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41115-2023</t>
        </is>
      </c>
      <c r="B96" t="inlineStr">
        <is>
          <t>avverkningsanmälan</t>
        </is>
      </c>
      <c r="C96" t="inlineStr">
        <is>
          <t>Föryngringsavverkning</t>
        </is>
      </c>
      <c r="D96" s="1" t="n">
        <v>45173</v>
      </c>
      <c r="E96" s="1" t="n">
        <v>46234</v>
      </c>
      <c r="F96" t="inlineStr">
        <is>
          <t>STOCKHOLMS LÄN</t>
        </is>
      </c>
      <c r="G96" t="inlineStr">
        <is>
          <t>SÖDERTÄLJE</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3382-2024</t>
        </is>
      </c>
      <c r="B97" t="inlineStr">
        <is>
          <t>avverkningsanmälan</t>
        </is>
      </c>
      <c r="C97" t="inlineStr">
        <is>
          <t>Avverkning för att bevara och utveckla /försöksver</t>
        </is>
      </c>
      <c r="D97" s="1" t="n">
        <v>45317</v>
      </c>
      <c r="E97" s="1" t="n">
        <v>46234</v>
      </c>
      <c r="F97" t="inlineStr">
        <is>
          <t>STOCKHOLMS LÄN</t>
        </is>
      </c>
      <c r="G97" t="inlineStr">
        <is>
          <t>SÖDERTÄLJE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27969-2022</t>
        </is>
      </c>
      <c r="B98" t="inlineStr">
        <is>
          <t>avverkningsanmälan</t>
        </is>
      </c>
      <c r="C98" t="inlineStr">
        <is>
          <t>Föryngringsavverkning</t>
        </is>
      </c>
      <c r="D98" s="1" t="n">
        <v>44744</v>
      </c>
      <c r="E98" s="1" t="n">
        <v>46234</v>
      </c>
      <c r="F98" t="inlineStr">
        <is>
          <t>STOCKHOLMS LÄN</t>
        </is>
      </c>
      <c r="G98" t="inlineStr">
        <is>
          <t>SÖDERTÄLJE</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28981-2023</t>
        </is>
      </c>
      <c r="B99" t="inlineStr">
        <is>
          <t>avverkningsanmälan</t>
        </is>
      </c>
      <c r="C99" t="inlineStr">
        <is>
          <t>Föryngringsavverkning</t>
        </is>
      </c>
      <c r="D99" s="1" t="n">
        <v>45104</v>
      </c>
      <c r="E99" s="1" t="n">
        <v>46234</v>
      </c>
      <c r="F99" t="inlineStr">
        <is>
          <t>STOCKHOLMS LÄN</t>
        </is>
      </c>
      <c r="G99" t="inlineStr">
        <is>
          <t>SÖDERTÄLJE</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52101-2022</t>
        </is>
      </c>
      <c r="B100" t="inlineStr">
        <is>
          <t>avverkningsanmälan</t>
        </is>
      </c>
      <c r="C100" t="inlineStr">
        <is>
          <t>Avverkning för annat ändamål</t>
        </is>
      </c>
      <c r="D100" s="1" t="n">
        <v>44873</v>
      </c>
      <c r="E100" s="1" t="n">
        <v>46234</v>
      </c>
      <c r="F100" t="inlineStr">
        <is>
          <t>STOCKHOLMS LÄN</t>
        </is>
      </c>
      <c r="G100" t="inlineStr">
        <is>
          <t>SÖDERTÄLJE</t>
        </is>
      </c>
      <c r="H100" t="inlineStr">
        <is>
          <t>Kommuner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42133-2023</t>
        </is>
      </c>
      <c r="B101" t="inlineStr">
        <is>
          <t>avverkningsanmälan</t>
        </is>
      </c>
      <c r="C101" t="inlineStr">
        <is>
          <t>Föryngringsavverkning</t>
        </is>
      </c>
      <c r="D101" s="1" t="n">
        <v>45177</v>
      </c>
      <c r="E101" s="1" t="n">
        <v>46234</v>
      </c>
      <c r="F101" t="inlineStr">
        <is>
          <t>STOCKHOLMS LÄN</t>
        </is>
      </c>
      <c r="G101" t="inlineStr">
        <is>
          <t>SÖDERTÄLJE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37844-2022</t>
        </is>
      </c>
      <c r="B102" t="inlineStr">
        <is>
          <t>avverkningsanmälan</t>
        </is>
      </c>
      <c r="C102" t="inlineStr">
        <is>
          <t>Avverkning för annat ändamål</t>
        </is>
      </c>
      <c r="D102" s="1" t="n">
        <v>44810</v>
      </c>
      <c r="E102" s="1" t="n">
        <v>46234</v>
      </c>
      <c r="F102" t="inlineStr">
        <is>
          <t>STOCKHOLMS LÄN</t>
        </is>
      </c>
      <c r="G102" t="inlineStr">
        <is>
          <t>SÖDERTÄLJE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36886-2023</t>
        </is>
      </c>
      <c r="B103" t="inlineStr">
        <is>
          <t>avverkningsanmälan</t>
        </is>
      </c>
      <c r="C103" t="inlineStr">
        <is>
          <t>Avverkning för annat ändamål</t>
        </is>
      </c>
      <c r="D103" s="1" t="n">
        <v>45154</v>
      </c>
      <c r="E103" s="1" t="n">
        <v>46234</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4443-2023</t>
        </is>
      </c>
      <c r="B104" t="inlineStr">
        <is>
          <t>avverkningsanmälan</t>
        </is>
      </c>
      <c r="C104" t="inlineStr">
        <is>
          <t>Föryngringsavverkning</t>
        </is>
      </c>
      <c r="D104" s="1" t="n">
        <v>44956</v>
      </c>
      <c r="E104" s="1" t="n">
        <v>46234</v>
      </c>
      <c r="F104" t="inlineStr">
        <is>
          <t>STOCKHOLMS LÄN</t>
        </is>
      </c>
      <c r="G104" t="inlineStr">
        <is>
          <t>SÖDERTÄLJE</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28982-2024</t>
        </is>
      </c>
      <c r="B105" t="inlineStr">
        <is>
          <t>avverkningsanmälan</t>
        </is>
      </c>
      <c r="C105" t="inlineStr">
        <is>
          <t>Avverkning för annat ändamål</t>
        </is>
      </c>
      <c r="D105" s="1" t="n">
        <v>45481</v>
      </c>
      <c r="E105" s="1" t="n">
        <v>46234</v>
      </c>
      <c r="F105" t="inlineStr">
        <is>
          <t>STOCKHOLMS LÄN</t>
        </is>
      </c>
      <c r="G105" t="inlineStr">
        <is>
          <t>SÖDERTÄLJE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92-2024</t>
        </is>
      </c>
      <c r="B106" t="inlineStr">
        <is>
          <t>avverkningsanmälan</t>
        </is>
      </c>
      <c r="C106" t="inlineStr">
        <is>
          <t>Föryngringsavverkning</t>
        </is>
      </c>
      <c r="D106" s="1" t="n">
        <v>45293</v>
      </c>
      <c r="E106" s="1" t="n">
        <v>46234</v>
      </c>
      <c r="F106" t="inlineStr">
        <is>
          <t>STOCKHOLMS LÄN</t>
        </is>
      </c>
      <c r="G106" t="inlineStr">
        <is>
          <t>SÖDERTÄLJE</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62047-2025</t>
        </is>
      </c>
      <c r="B107" t="inlineStr">
        <is>
          <t>avverkningsanmälan</t>
        </is>
      </c>
      <c r="C107" t="inlineStr">
        <is>
          <t>Föryngringsavverkning</t>
        </is>
      </c>
      <c r="D107" s="1" t="n">
        <v>46006</v>
      </c>
      <c r="E107" s="1" t="n">
        <v>46234</v>
      </c>
      <c r="F107" t="inlineStr">
        <is>
          <t>STOCKHOLMS LÄN</t>
        </is>
      </c>
      <c r="G107" t="inlineStr">
        <is>
          <t>SÖDERTÄLJE</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62049-2025</t>
        </is>
      </c>
      <c r="B108" t="inlineStr">
        <is>
          <t>avverkningsanmälan</t>
        </is>
      </c>
      <c r="C108" t="inlineStr">
        <is>
          <t>Föryngringsavverkning</t>
        </is>
      </c>
      <c r="D108" s="1" t="n">
        <v>46006</v>
      </c>
      <c r="E108" s="1" t="n">
        <v>46234</v>
      </c>
      <c r="F108" t="inlineStr">
        <is>
          <t>STOCKHOLMS LÄN</t>
        </is>
      </c>
      <c r="G108" t="inlineStr">
        <is>
          <t>SÖDERTÄLJE</t>
        </is>
      </c>
      <c r="I108" t="n">
        <v>10.4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12907-2024</t>
        </is>
      </c>
      <c r="B109" t="inlineStr">
        <is>
          <t>avverkningsanmälan</t>
        </is>
      </c>
      <c r="C109" t="inlineStr">
        <is>
          <t>Föryngringsavverkning</t>
        </is>
      </c>
      <c r="D109" s="1" t="n">
        <v>45385</v>
      </c>
      <c r="E109" s="1" t="n">
        <v>46234</v>
      </c>
      <c r="F109" t="inlineStr">
        <is>
          <t>STOCKHOLMS LÄN</t>
        </is>
      </c>
      <c r="G109" t="inlineStr">
        <is>
          <t>SÖDERTÄLJE</t>
        </is>
      </c>
      <c r="I109" t="n">
        <v>11.9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26909-2024</t>
        </is>
      </c>
      <c r="B110" t="inlineStr">
        <is>
          <t>avverkningsanmälan</t>
        </is>
      </c>
      <c r="C110" t="inlineStr">
        <is>
          <t>Föryngringsavverkning</t>
        </is>
      </c>
      <c r="D110" s="1" t="n">
        <v>45470</v>
      </c>
      <c r="E110" s="1" t="n">
        <v>46234</v>
      </c>
      <c r="F110" t="inlineStr">
        <is>
          <t>STOCKHOLMS LÄN</t>
        </is>
      </c>
      <c r="G110" t="inlineStr">
        <is>
          <t>SÖDERTÄLJE</t>
        </is>
      </c>
      <c r="H110" t="inlineStr">
        <is>
          <t>Kommuner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28502-2023</t>
        </is>
      </c>
      <c r="B111" t="inlineStr">
        <is>
          <t>avverkningsanmälan</t>
        </is>
      </c>
      <c r="C111" t="inlineStr">
        <is>
          <t>Föryngringsavverkning</t>
        </is>
      </c>
      <c r="D111" s="1" t="n">
        <v>45103</v>
      </c>
      <c r="E111" s="1" t="n">
        <v>46234</v>
      </c>
      <c r="F111" t="inlineStr">
        <is>
          <t>STOCKHOLMS LÄN</t>
        </is>
      </c>
      <c r="G111" t="inlineStr">
        <is>
          <t>SÖDERTÄLJE</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8611-2023</t>
        </is>
      </c>
      <c r="B112" t="inlineStr">
        <is>
          <t>avverkningsanmälan</t>
        </is>
      </c>
      <c r="C112" t="inlineStr">
        <is>
          <t>Avverkning för annat ändamål</t>
        </is>
      </c>
      <c r="D112" s="1" t="n">
        <v>44977</v>
      </c>
      <c r="E112" s="1" t="n">
        <v>46234</v>
      </c>
      <c r="F112" t="inlineStr">
        <is>
          <t>STOCKHOLMS LÄN</t>
        </is>
      </c>
      <c r="G112" t="inlineStr">
        <is>
          <t>SÖDERTÄLJE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3108-2024</t>
        </is>
      </c>
      <c r="B113" t="inlineStr">
        <is>
          <t>avverkningsanmälan</t>
        </is>
      </c>
      <c r="C113" t="inlineStr">
        <is>
          <t>Avverkning för att bevara och utveckla /försöksver</t>
        </is>
      </c>
      <c r="D113" s="1" t="n">
        <v>45316</v>
      </c>
      <c r="E113" s="1" t="n">
        <v>46234</v>
      </c>
      <c r="F113" t="inlineStr">
        <is>
          <t>STOCKHOLMS LÄN</t>
        </is>
      </c>
      <c r="G113" t="inlineStr">
        <is>
          <t>SÖDERTÄLJE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42337-2024</t>
        </is>
      </c>
      <c r="B114" t="inlineStr">
        <is>
          <t>avverkningsanmälan</t>
        </is>
      </c>
      <c r="C114" t="inlineStr">
        <is>
          <t>Föryngringsavverkning</t>
        </is>
      </c>
      <c r="D114" s="1" t="n">
        <v>45562</v>
      </c>
      <c r="E114" s="1" t="n">
        <v>46234</v>
      </c>
      <c r="F114" t="inlineStr">
        <is>
          <t>STOCKHOLMS LÄN</t>
        </is>
      </c>
      <c r="G114" t="inlineStr">
        <is>
          <t>SÖDERTÄLJE</t>
        </is>
      </c>
      <c r="H114" t="inlineStr">
        <is>
          <t>Övriga statliga verk och myndigheter</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18592-2023</t>
        </is>
      </c>
      <c r="B115" t="inlineStr">
        <is>
          <t>avverkningsanmälan</t>
        </is>
      </c>
      <c r="C115" t="inlineStr">
        <is>
          <t>Föryngringsavverkning</t>
        </is>
      </c>
      <c r="D115" s="1" t="n">
        <v>45043</v>
      </c>
      <c r="E115" s="1" t="n">
        <v>46234</v>
      </c>
      <c r="F115" t="inlineStr">
        <is>
          <t>STOCKHOLMS LÄN</t>
        </is>
      </c>
      <c r="G115" t="inlineStr">
        <is>
          <t>SÖDERTÄLJE</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234-2026</t>
        </is>
      </c>
      <c r="B116" t="inlineStr">
        <is>
          <t>avverkningsanmälan</t>
        </is>
      </c>
      <c r="C116" t="inlineStr">
        <is>
          <t>Föryngringsavverkning</t>
        </is>
      </c>
      <c r="D116" s="1" t="n">
        <v>46027</v>
      </c>
      <c r="E116" s="1" t="n">
        <v>46234</v>
      </c>
      <c r="F116" t="inlineStr">
        <is>
          <t>STOCKHOLMS LÄN</t>
        </is>
      </c>
      <c r="G116" t="inlineStr">
        <is>
          <t>SÖDERTÄLJE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243-2026</t>
        </is>
      </c>
      <c r="B117" t="inlineStr">
        <is>
          <t>avverkningsanmälan</t>
        </is>
      </c>
      <c r="C117" t="inlineStr">
        <is>
          <t>Föryngringsavverkning</t>
        </is>
      </c>
      <c r="D117" s="1" t="n">
        <v>46027</v>
      </c>
      <c r="E117" s="1" t="n">
        <v>46234</v>
      </c>
      <c r="F117" t="inlineStr">
        <is>
          <t>STOCKHOLMS LÄN</t>
        </is>
      </c>
      <c r="G117" t="inlineStr">
        <is>
          <t>SÖDERTÄLJE</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1381-2023</t>
        </is>
      </c>
      <c r="B118" t="inlineStr">
        <is>
          <t>avverkningsanmälan</t>
        </is>
      </c>
      <c r="C118" t="inlineStr">
        <is>
          <t>Föryngringsavverkning</t>
        </is>
      </c>
      <c r="D118" s="1" t="n">
        <v>44936</v>
      </c>
      <c r="E118" s="1" t="n">
        <v>46234</v>
      </c>
      <c r="F118" t="inlineStr">
        <is>
          <t>STOCKHOLMS LÄN</t>
        </is>
      </c>
      <c r="G118" t="inlineStr">
        <is>
          <t>SÖDERTÄLJE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231-2026</t>
        </is>
      </c>
      <c r="B119" t="inlineStr">
        <is>
          <t>avverkningsanmälan</t>
        </is>
      </c>
      <c r="C119" t="inlineStr">
        <is>
          <t>Föryngringsavverkning</t>
        </is>
      </c>
      <c r="D119" s="1" t="n">
        <v>46027</v>
      </c>
      <c r="E119" s="1" t="n">
        <v>46234</v>
      </c>
      <c r="F119" t="inlineStr">
        <is>
          <t>STOCKHOLMS LÄN</t>
        </is>
      </c>
      <c r="G119" t="inlineStr">
        <is>
          <t>SÖDERTÄLJE</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233-2026</t>
        </is>
      </c>
      <c r="B120" t="inlineStr">
        <is>
          <t>avverkningsanmälan</t>
        </is>
      </c>
      <c r="C120" t="inlineStr">
        <is>
          <t>Föryngringsavverkning</t>
        </is>
      </c>
      <c r="D120" s="1" t="n">
        <v>46027</v>
      </c>
      <c r="E120" s="1" t="n">
        <v>46234</v>
      </c>
      <c r="F120" t="inlineStr">
        <is>
          <t>STOCKHOLMS LÄN</t>
        </is>
      </c>
      <c r="G120" t="inlineStr">
        <is>
          <t>SÖDERTÄLJE</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56354-2023</t>
        </is>
      </c>
      <c r="B121" t="inlineStr">
        <is>
          <t>avverkningsanmälan</t>
        </is>
      </c>
      <c r="C121" t="inlineStr">
        <is>
          <t>Föryngringsavverkning</t>
        </is>
      </c>
      <c r="D121" s="1" t="n">
        <v>45243</v>
      </c>
      <c r="E121" s="1" t="n">
        <v>46234</v>
      </c>
      <c r="F121" t="inlineStr">
        <is>
          <t>STOCKHOLMS LÄN</t>
        </is>
      </c>
      <c r="G121" t="inlineStr">
        <is>
          <t>SÖDERTÄLJE</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31375-2024</t>
        </is>
      </c>
      <c r="B122" t="inlineStr">
        <is>
          <t>avverkningsanmälan</t>
        </is>
      </c>
      <c r="C122" t="inlineStr">
        <is>
          <t>Avverkning för annat ändamål</t>
        </is>
      </c>
      <c r="D122" s="1" t="n">
        <v>45505</v>
      </c>
      <c r="E122" s="1" t="n">
        <v>46234</v>
      </c>
      <c r="F122" t="inlineStr">
        <is>
          <t>STOCKHOLMS LÄN</t>
        </is>
      </c>
      <c r="G122" t="inlineStr">
        <is>
          <t>SÖDERTÄLJE</t>
        </is>
      </c>
      <c r="H122" t="inlineStr">
        <is>
          <t>Kommuner</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1696-2026</t>
        </is>
      </c>
      <c r="B123" t="inlineStr">
        <is>
          <t>avverkningsanmälan</t>
        </is>
      </c>
      <c r="C123" t="inlineStr">
        <is>
          <t>Föryngringsavverkning</t>
        </is>
      </c>
      <c r="D123" s="1" t="n">
        <v>46034</v>
      </c>
      <c r="E123" s="1" t="n">
        <v>46234</v>
      </c>
      <c r="F123" t="inlineStr">
        <is>
          <t>STOCKHOLMS LÄN</t>
        </is>
      </c>
      <c r="G123" t="inlineStr">
        <is>
          <t>SÖDERTÄLJE</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50059-2021</t>
        </is>
      </c>
      <c r="B124" t="inlineStr">
        <is>
          <t>avverkningsanmälan</t>
        </is>
      </c>
      <c r="C124" t="inlineStr">
        <is>
          <t>Föryngringsavverkning</t>
        </is>
      </c>
      <c r="D124" s="1" t="n">
        <v>44455</v>
      </c>
      <c r="E124" s="1" t="n">
        <v>46234</v>
      </c>
      <c r="F124" t="inlineStr">
        <is>
          <t>STOCKHOLMS LÄN</t>
        </is>
      </c>
      <c r="G124" t="inlineStr">
        <is>
          <t>SÖDERTÄLJE</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1715-2026</t>
        </is>
      </c>
      <c r="B125" t="inlineStr">
        <is>
          <t>avverkningsanmälan</t>
        </is>
      </c>
      <c r="C125" t="inlineStr">
        <is>
          <t>Föryngringsavverkning</t>
        </is>
      </c>
      <c r="D125" s="1" t="n">
        <v>46034</v>
      </c>
      <c r="E125" s="1" t="n">
        <v>46234</v>
      </c>
      <c r="F125" t="inlineStr">
        <is>
          <t>STOCKHOLMS LÄN</t>
        </is>
      </c>
      <c r="G125" t="inlineStr">
        <is>
          <t>SÖDERTÄLJE</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2685-2026</t>
        </is>
      </c>
      <c r="B126" t="inlineStr">
        <is>
          <t>avverkningsanmälan</t>
        </is>
      </c>
      <c r="C126" t="inlineStr">
        <is>
          <t>Föryngringsavverkning</t>
        </is>
      </c>
      <c r="D126" s="1" t="n">
        <v>46037</v>
      </c>
      <c r="E126" s="1" t="n">
        <v>46234</v>
      </c>
      <c r="F126" t="inlineStr">
        <is>
          <t>STOCKHOLMS LÄN</t>
        </is>
      </c>
      <c r="G126" t="inlineStr">
        <is>
          <t>SÖDERTÄLJE</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954-2023</t>
        </is>
      </c>
      <c r="B127" t="inlineStr">
        <is>
          <t>avverkningsanmälan</t>
        </is>
      </c>
      <c r="C127" t="inlineStr">
        <is>
          <t>Föryngringsavverkning</t>
        </is>
      </c>
      <c r="D127" s="1" t="n">
        <v>44934</v>
      </c>
      <c r="E127" s="1" t="n">
        <v>46234</v>
      </c>
      <c r="F127" t="inlineStr">
        <is>
          <t>STOCKHOLMS LÄN</t>
        </is>
      </c>
      <c r="G127" t="inlineStr">
        <is>
          <t>SÖDERTÄLJE</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35200-2023</t>
        </is>
      </c>
      <c r="B128" t="inlineStr">
        <is>
          <t>avverkningsanmälan</t>
        </is>
      </c>
      <c r="C128" t="inlineStr">
        <is>
          <t>Föryngringsavverkning</t>
        </is>
      </c>
      <c r="D128" s="1" t="n">
        <v>45145</v>
      </c>
      <c r="E128" s="1" t="n">
        <v>46234</v>
      </c>
      <c r="F128" t="inlineStr">
        <is>
          <t>STOCKHOLMS LÄN</t>
        </is>
      </c>
      <c r="G128" t="inlineStr">
        <is>
          <t>SÖDERTÄLJE</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7023-2026</t>
        </is>
      </c>
      <c r="B129" t="inlineStr">
        <is>
          <t>avverkningsanmälan</t>
        </is>
      </c>
      <c r="C129" t="inlineStr">
        <is>
          <t>Föryngringsavverkning</t>
        </is>
      </c>
      <c r="D129" s="1" t="n">
        <v>46057</v>
      </c>
      <c r="E129" s="1" t="n">
        <v>46234</v>
      </c>
      <c r="F129" t="inlineStr">
        <is>
          <t>STOCKHOLMS LÄN</t>
        </is>
      </c>
      <c r="G129" t="inlineStr">
        <is>
          <t>SÖDERTÄLJE</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58140-2023</t>
        </is>
      </c>
      <c r="B130" t="inlineStr">
        <is>
          <t>avverkningsanmälan</t>
        </is>
      </c>
      <c r="C130" t="inlineStr">
        <is>
          <t>Avverkning för annat ändamål</t>
        </is>
      </c>
      <c r="D130" s="1" t="n">
        <v>45250</v>
      </c>
      <c r="E130" s="1" t="n">
        <v>46234</v>
      </c>
      <c r="F130" t="inlineStr">
        <is>
          <t>STOCKHOLMS LÄN</t>
        </is>
      </c>
      <c r="G130" t="inlineStr">
        <is>
          <t>SÖDERTÄLJE</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3152-2026</t>
        </is>
      </c>
      <c r="B131" t="inlineStr">
        <is>
          <t>avverkningsanmälan</t>
        </is>
      </c>
      <c r="C131" t="inlineStr">
        <is>
          <t>Avverkning för annat ändamål</t>
        </is>
      </c>
      <c r="D131" s="1" t="n">
        <v>46041</v>
      </c>
      <c r="E131" s="1" t="n">
        <v>46234</v>
      </c>
      <c r="F131" t="inlineStr">
        <is>
          <t>STOCKHOLMS LÄN</t>
        </is>
      </c>
      <c r="G131" t="inlineStr">
        <is>
          <t>SÖDERTÄLJE</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9234-2026</t>
        </is>
      </c>
      <c r="B132" t="inlineStr">
        <is>
          <t>avverkningsanmälan</t>
        </is>
      </c>
      <c r="C132" t="inlineStr">
        <is>
          <t>Föryngringsavverkning</t>
        </is>
      </c>
      <c r="D132" s="1" t="n">
        <v>46070</v>
      </c>
      <c r="E132" s="1" t="n">
        <v>46234</v>
      </c>
      <c r="F132" t="inlineStr">
        <is>
          <t>STOCKHOLMS LÄN</t>
        </is>
      </c>
      <c r="G132" t="inlineStr">
        <is>
          <t>SÖDERTÄLJE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314-2022</t>
        </is>
      </c>
      <c r="B133" t="inlineStr">
        <is>
          <t>avverkningsanmälan</t>
        </is>
      </c>
      <c r="C133" t="inlineStr">
        <is>
          <t>Föryngringsavverkning</t>
        </is>
      </c>
      <c r="D133" s="1" t="n">
        <v>44564</v>
      </c>
      <c r="E133" s="1" t="n">
        <v>46234</v>
      </c>
      <c r="F133" t="inlineStr">
        <is>
          <t>STOCKHOLMS LÄN</t>
        </is>
      </c>
      <c r="G133" t="inlineStr">
        <is>
          <t>SÖDERTÄLJE</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487-2024</t>
        </is>
      </c>
      <c r="B134" t="inlineStr">
        <is>
          <t>avverkningsanmälan</t>
        </is>
      </c>
      <c r="C134" t="inlineStr">
        <is>
          <t>Föryngringsavverkning</t>
        </is>
      </c>
      <c r="D134" s="1" t="n">
        <v>45298</v>
      </c>
      <c r="E134" s="1" t="n">
        <v>46234</v>
      </c>
      <c r="F134" t="inlineStr">
        <is>
          <t>STOCKHOLMS LÄN</t>
        </is>
      </c>
      <c r="G134" t="inlineStr">
        <is>
          <t>SÖDERTÄLJE</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10327-2026</t>
        </is>
      </c>
      <c r="B135" t="inlineStr">
        <is>
          <t>avverkningsanmälan</t>
        </is>
      </c>
      <c r="C135" t="inlineStr">
        <is>
          <t>Föryngringsavverkning</t>
        </is>
      </c>
      <c r="D135" s="1" t="n">
        <v>46076</v>
      </c>
      <c r="E135" s="1" t="n">
        <v>46234</v>
      </c>
      <c r="F135" t="inlineStr">
        <is>
          <t>STOCKHOLMS LÄN</t>
        </is>
      </c>
      <c r="G135" t="inlineStr">
        <is>
          <t>SÖDERTÄLJE</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10414-2026</t>
        </is>
      </c>
      <c r="B136" t="inlineStr">
        <is>
          <t>avverkningsanmälan</t>
        </is>
      </c>
      <c r="C136" t="inlineStr">
        <is>
          <t>Föryngringsavverkning</t>
        </is>
      </c>
      <c r="D136" s="1" t="n">
        <v>46077</v>
      </c>
      <c r="E136" s="1" t="n">
        <v>46234</v>
      </c>
      <c r="F136" t="inlineStr">
        <is>
          <t>STOCKHOLMS LÄN</t>
        </is>
      </c>
      <c r="G136" t="inlineStr">
        <is>
          <t>SÖDERTÄLJE</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10426-2026</t>
        </is>
      </c>
      <c r="B137" t="inlineStr">
        <is>
          <t>avverkningsanmälan</t>
        </is>
      </c>
      <c r="C137" t="inlineStr">
        <is>
          <t>Föryngringsavverkning</t>
        </is>
      </c>
      <c r="D137" s="1" t="n">
        <v>46077</v>
      </c>
      <c r="E137" s="1" t="n">
        <v>46234</v>
      </c>
      <c r="F137" t="inlineStr">
        <is>
          <t>STOCKHOLMS LÄN</t>
        </is>
      </c>
      <c r="G137" t="inlineStr">
        <is>
          <t>SÖDERTÄLJE</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10425-2026</t>
        </is>
      </c>
      <c r="B138" t="inlineStr">
        <is>
          <t>avverkningsanmälan</t>
        </is>
      </c>
      <c r="C138" t="inlineStr">
        <is>
          <t>Föryngringsavverkning</t>
        </is>
      </c>
      <c r="D138" s="1" t="n">
        <v>46077</v>
      </c>
      <c r="E138" s="1" t="n">
        <v>46234</v>
      </c>
      <c r="F138" t="inlineStr">
        <is>
          <t>STOCKHOLMS LÄN</t>
        </is>
      </c>
      <c r="G138" t="inlineStr">
        <is>
          <t>SÖDERTÄLJE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10450-2026</t>
        </is>
      </c>
      <c r="B139" t="inlineStr">
        <is>
          <t>avverkningsanmälan</t>
        </is>
      </c>
      <c r="C139" t="inlineStr">
        <is>
          <t>Föryngringsavverkning</t>
        </is>
      </c>
      <c r="D139" s="1" t="n">
        <v>46077</v>
      </c>
      <c r="E139" s="1" t="n">
        <v>46234</v>
      </c>
      <c r="F139" t="inlineStr">
        <is>
          <t>STOCKHOLMS LÄN</t>
        </is>
      </c>
      <c r="G139" t="inlineStr">
        <is>
          <t>SÖDERTÄLJE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10452-2026</t>
        </is>
      </c>
      <c r="B140" t="inlineStr">
        <is>
          <t>avverkningsanmälan</t>
        </is>
      </c>
      <c r="C140" t="inlineStr">
        <is>
          <t>Föryngringsavverkning</t>
        </is>
      </c>
      <c r="D140" s="1" t="n">
        <v>46077</v>
      </c>
      <c r="E140" s="1" t="n">
        <v>46234</v>
      </c>
      <c r="F140" t="inlineStr">
        <is>
          <t>STOCKHOLMS LÄN</t>
        </is>
      </c>
      <c r="G140" t="inlineStr">
        <is>
          <t>SÖDERTÄLJE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10404-2026</t>
        </is>
      </c>
      <c r="B141" t="inlineStr">
        <is>
          <t>avverkningsanmälan</t>
        </is>
      </c>
      <c r="C141" t="inlineStr">
        <is>
          <t>Föryngringsavverkning</t>
        </is>
      </c>
      <c r="D141" s="1" t="n">
        <v>46077</v>
      </c>
      <c r="E141" s="1" t="n">
        <v>46234</v>
      </c>
      <c r="F141" t="inlineStr">
        <is>
          <t>STOCKHOLMS LÄN</t>
        </is>
      </c>
      <c r="G141" t="inlineStr">
        <is>
          <t>SÖDERTÄLJE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12116-2026</t>
        </is>
      </c>
      <c r="B142" t="inlineStr">
        <is>
          <t>avverkningsanmälan</t>
        </is>
      </c>
      <c r="C142" t="inlineStr">
        <is>
          <t>Föryngringsavverkning</t>
        </is>
      </c>
      <c r="D142" s="1" t="n">
        <v>46086</v>
      </c>
      <c r="E142" s="1" t="n">
        <v>46234</v>
      </c>
      <c r="F142" t="inlineStr">
        <is>
          <t>STOCKHOLMS LÄN</t>
        </is>
      </c>
      <c r="G142" t="inlineStr">
        <is>
          <t>SÖDERTÄLJE</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12121-2026</t>
        </is>
      </c>
      <c r="B143" t="inlineStr">
        <is>
          <t>avverkningsanmälan</t>
        </is>
      </c>
      <c r="C143" t="inlineStr">
        <is>
          <t>Föryngringsavverkning</t>
        </is>
      </c>
      <c r="D143" s="1" t="n">
        <v>46086</v>
      </c>
      <c r="E143" s="1" t="n">
        <v>46234</v>
      </c>
      <c r="F143" t="inlineStr">
        <is>
          <t>STOCKHOLMS LÄN</t>
        </is>
      </c>
      <c r="G143" t="inlineStr">
        <is>
          <t>SÖDERTÄLJE</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47576-2023</t>
        </is>
      </c>
      <c r="B144" t="inlineStr">
        <is>
          <t>avverkningsanmälan</t>
        </is>
      </c>
      <c r="C144" t="inlineStr">
        <is>
          <t>Föryngringsavverkning</t>
        </is>
      </c>
      <c r="D144" s="1" t="n">
        <v>45197</v>
      </c>
      <c r="E144" s="1" t="n">
        <v>46234</v>
      </c>
      <c r="F144" t="inlineStr">
        <is>
          <t>STOCKHOLMS LÄN</t>
        </is>
      </c>
      <c r="G144" t="inlineStr">
        <is>
          <t>SÖDERTÄLJE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35906-2022</t>
        </is>
      </c>
      <c r="B145" t="inlineStr">
        <is>
          <t>avverkningsanmälan</t>
        </is>
      </c>
      <c r="C145" t="inlineStr">
        <is>
          <t>Avverkning för annat ändamål</t>
        </is>
      </c>
      <c r="D145" s="1" t="n">
        <v>44802</v>
      </c>
      <c r="E145" s="1" t="n">
        <v>46234</v>
      </c>
      <c r="F145" t="inlineStr">
        <is>
          <t>STOCKHOLMS LÄN</t>
        </is>
      </c>
      <c r="G145" t="inlineStr">
        <is>
          <t>SÖDERTÄLJE</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52815-2023</t>
        </is>
      </c>
      <c r="B146" t="inlineStr">
        <is>
          <t>avverkningsanmälan</t>
        </is>
      </c>
      <c r="C146" t="inlineStr">
        <is>
          <t>Föryngringsavverkning</t>
        </is>
      </c>
      <c r="D146" s="1" t="n">
        <v>45226</v>
      </c>
      <c r="E146" s="1" t="n">
        <v>46234</v>
      </c>
      <c r="F146" t="inlineStr">
        <is>
          <t>STOCKHOLMS LÄN</t>
        </is>
      </c>
      <c r="G146" t="inlineStr">
        <is>
          <t>SÖDERTÄLJE</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13943-2026</t>
        </is>
      </c>
      <c r="B147" t="inlineStr">
        <is>
          <t>avverkningsanmälan</t>
        </is>
      </c>
      <c r="C147" t="inlineStr">
        <is>
          <t>Föryngringsavverkning</t>
        </is>
      </c>
      <c r="D147" s="1" t="n">
        <v>46098</v>
      </c>
      <c r="E147" s="1" t="n">
        <v>46234</v>
      </c>
      <c r="F147" t="inlineStr">
        <is>
          <t>STOCKHOLMS LÄN</t>
        </is>
      </c>
      <c r="G147" t="inlineStr">
        <is>
          <t>SÖDERTÄLJE</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60635-2024</t>
        </is>
      </c>
      <c r="B148" t="inlineStr">
        <is>
          <t>avverkningsanmälan</t>
        </is>
      </c>
      <c r="C148" t="inlineStr">
        <is>
          <t>Föryngringsavverkning</t>
        </is>
      </c>
      <c r="D148" s="1" t="n">
        <v>45644</v>
      </c>
      <c r="E148" s="1" t="n">
        <v>46234</v>
      </c>
      <c r="F148" t="inlineStr">
        <is>
          <t>STOCKHOLMS LÄN</t>
        </is>
      </c>
      <c r="G148" t="inlineStr">
        <is>
          <t>SÖDERTÄLJE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15964-2026</t>
        </is>
      </c>
      <c r="B149" t="inlineStr">
        <is>
          <t>avverkningsanmälan</t>
        </is>
      </c>
      <c r="C149" t="inlineStr">
        <is>
          <t>Föryngringsavverkning</t>
        </is>
      </c>
      <c r="D149" s="1" t="n">
        <v>46108</v>
      </c>
      <c r="E149" s="1" t="n">
        <v>46234</v>
      </c>
      <c r="F149" t="inlineStr">
        <is>
          <t>STOCKHOLMS LÄN</t>
        </is>
      </c>
      <c r="G149" t="inlineStr">
        <is>
          <t>SÖDERTÄLJE</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62311-2023</t>
        </is>
      </c>
      <c r="B150" t="inlineStr">
        <is>
          <t>avverkningsanmälan</t>
        </is>
      </c>
      <c r="C150" t="inlineStr">
        <is>
          <t>Föryngringsavverkning</t>
        </is>
      </c>
      <c r="D150" s="1" t="n">
        <v>45266</v>
      </c>
      <c r="E150" s="1" t="n">
        <v>46234</v>
      </c>
      <c r="F150" t="inlineStr">
        <is>
          <t>STOCKHOLMS LÄN</t>
        </is>
      </c>
      <c r="G150" t="inlineStr">
        <is>
          <t>SÖDERTÄLJE</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25706-2023</t>
        </is>
      </c>
      <c r="B151" t="inlineStr">
        <is>
          <t>avverkningsanmälan</t>
        </is>
      </c>
      <c r="C151" t="inlineStr">
        <is>
          <t>Föryngringsavverkning</t>
        </is>
      </c>
      <c r="D151" s="1" t="n">
        <v>45090</v>
      </c>
      <c r="E151" s="1" t="n">
        <v>46234</v>
      </c>
      <c r="F151" t="inlineStr">
        <is>
          <t>STOCKHOLMS LÄN</t>
        </is>
      </c>
      <c r="G151" t="inlineStr">
        <is>
          <t>SÖDERTÄLJE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22-2024</t>
        </is>
      </c>
      <c r="B152" t="inlineStr">
        <is>
          <t>avverkningsanmälan</t>
        </is>
      </c>
      <c r="C152" t="inlineStr">
        <is>
          <t>Föryngringsavverkning</t>
        </is>
      </c>
      <c r="D152" s="1" t="n">
        <v>45293</v>
      </c>
      <c r="E152" s="1" t="n">
        <v>46234</v>
      </c>
      <c r="F152" t="inlineStr">
        <is>
          <t>STOCKHOLMS LÄN</t>
        </is>
      </c>
      <c r="G152" t="inlineStr">
        <is>
          <t>SÖDERTÄLJE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95-2024</t>
        </is>
      </c>
      <c r="B153" t="inlineStr">
        <is>
          <t>avverkningsanmälan</t>
        </is>
      </c>
      <c r="C153" t="inlineStr">
        <is>
          <t>Föryngringsavverkning</t>
        </is>
      </c>
      <c r="D153" s="1" t="n">
        <v>45293</v>
      </c>
      <c r="E153" s="1" t="n">
        <v>46234</v>
      </c>
      <c r="F153" t="inlineStr">
        <is>
          <t>STOCKHOLMS LÄN</t>
        </is>
      </c>
      <c r="G153" t="inlineStr">
        <is>
          <t>SÖDERTÄLJE</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19071-2026</t>
        </is>
      </c>
      <c r="B154" t="inlineStr">
        <is>
          <t>avverkningsanmälan</t>
        </is>
      </c>
      <c r="C154" t="inlineStr">
        <is>
          <t>Föryngringsavverkning</t>
        </is>
      </c>
      <c r="D154" s="1" t="n">
        <v>46132</v>
      </c>
      <c r="E154" s="1" t="n">
        <v>46234</v>
      </c>
      <c r="F154" t="inlineStr">
        <is>
          <t>STOCKHOLMS LÄN</t>
        </is>
      </c>
      <c r="G154" t="inlineStr">
        <is>
          <t>SÖDERTÄLJE</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19078-2026</t>
        </is>
      </c>
      <c r="B155" t="inlineStr">
        <is>
          <t>avverkningsanmälan</t>
        </is>
      </c>
      <c r="C155" t="inlineStr">
        <is>
          <t>Föryngringsavverkning</t>
        </is>
      </c>
      <c r="D155" s="1" t="n">
        <v>46132</v>
      </c>
      <c r="E155" s="1" t="n">
        <v>46234</v>
      </c>
      <c r="F155" t="inlineStr">
        <is>
          <t>STOCKHOLMS LÄN</t>
        </is>
      </c>
      <c r="G155" t="inlineStr">
        <is>
          <t>SÖDERTÄLJE</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49956-2022</t>
        </is>
      </c>
      <c r="B156" t="inlineStr">
        <is>
          <t>avverkningsanmälan</t>
        </is>
      </c>
      <c r="C156" t="inlineStr">
        <is>
          <t>Föryngringsavverkning</t>
        </is>
      </c>
      <c r="D156" s="1" t="n">
        <v>44865</v>
      </c>
      <c r="E156" s="1" t="n">
        <v>46234</v>
      </c>
      <c r="F156" t="inlineStr">
        <is>
          <t>STOCKHOLMS LÄN</t>
        </is>
      </c>
      <c r="G156" t="inlineStr">
        <is>
          <t>SÖDERTÄLJE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11343-2025</t>
        </is>
      </c>
      <c r="B157" t="inlineStr">
        <is>
          <t>avverkningsanmälan</t>
        </is>
      </c>
      <c r="C157" t="inlineStr">
        <is>
          <t>Föryngringsavverkning</t>
        </is>
      </c>
      <c r="D157" s="1" t="n">
        <v>45726</v>
      </c>
      <c r="E157" s="1" t="n">
        <v>46234</v>
      </c>
      <c r="F157" t="inlineStr">
        <is>
          <t>STOCKHOLMS LÄN</t>
        </is>
      </c>
      <c r="G157" t="inlineStr">
        <is>
          <t>SÖDERTÄLJE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54596-2024</t>
        </is>
      </c>
      <c r="B158" t="inlineStr">
        <is>
          <t>avverkningsanmälan</t>
        </is>
      </c>
      <c r="C158" t="inlineStr">
        <is>
          <t>Föryngringsavverkning</t>
        </is>
      </c>
      <c r="D158" s="1" t="n">
        <v>45617</v>
      </c>
      <c r="E158" s="1" t="n">
        <v>46234</v>
      </c>
      <c r="F158" t="inlineStr">
        <is>
          <t>STOCKHOLMS LÄN</t>
        </is>
      </c>
      <c r="G158" t="inlineStr">
        <is>
          <t>SÖDERTÄLJE</t>
        </is>
      </c>
      <c r="I158" t="n">
        <v>9.5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45145-2022</t>
        </is>
      </c>
      <c r="B159" t="inlineStr">
        <is>
          <t>avverkningsanmälan</t>
        </is>
      </c>
      <c r="C159" t="inlineStr">
        <is>
          <t>Föryngringsavverkning</t>
        </is>
      </c>
      <c r="D159" s="1" t="n">
        <v>44844</v>
      </c>
      <c r="E159" s="1" t="n">
        <v>46234</v>
      </c>
      <c r="F159" t="inlineStr">
        <is>
          <t>STOCKHOLMS LÄN</t>
        </is>
      </c>
      <c r="G159" t="inlineStr">
        <is>
          <t>SÖDERTÄLJE</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25412-2025</t>
        </is>
      </c>
      <c r="B160" t="inlineStr">
        <is>
          <t>avverkningsanmälan</t>
        </is>
      </c>
      <c r="C160" t="inlineStr">
        <is>
          <t>Föryngringsavverkning</t>
        </is>
      </c>
      <c r="D160" s="1" t="n">
        <v>45799</v>
      </c>
      <c r="E160" s="1" t="n">
        <v>46234</v>
      </c>
      <c r="F160" t="inlineStr">
        <is>
          <t>STOCKHOLMS LÄN</t>
        </is>
      </c>
      <c r="G160" t="inlineStr">
        <is>
          <t>SÖDERTÄLJE</t>
        </is>
      </c>
      <c r="I160" t="n">
        <v>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42339-2024</t>
        </is>
      </c>
      <c r="B161" t="inlineStr">
        <is>
          <t>avverkningsanmälan</t>
        </is>
      </c>
      <c r="C161" t="inlineStr">
        <is>
          <t>Avverkning för annat ändamål</t>
        </is>
      </c>
      <c r="D161" s="1" t="n">
        <v>45562</v>
      </c>
      <c r="E161" s="1" t="n">
        <v>46234</v>
      </c>
      <c r="F161" t="inlineStr">
        <is>
          <t>STOCKHOLMS LÄN</t>
        </is>
      </c>
      <c r="G161" t="inlineStr">
        <is>
          <t>SÖDERTÄLJE</t>
        </is>
      </c>
      <c r="H161" t="inlineStr">
        <is>
          <t>Övriga statliga verk och myndigheter</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48820-2022</t>
        </is>
      </c>
      <c r="B162" t="inlineStr">
        <is>
          <t>avverkningsanmälan</t>
        </is>
      </c>
      <c r="C162" t="inlineStr">
        <is>
          <t>Föryngringsavverkning</t>
        </is>
      </c>
      <c r="D162" s="1" t="n">
        <v>44859</v>
      </c>
      <c r="E162" s="1" t="n">
        <v>46234</v>
      </c>
      <c r="F162" t="inlineStr">
        <is>
          <t>STOCKHOLMS LÄN</t>
        </is>
      </c>
      <c r="G162" t="inlineStr">
        <is>
          <t>SÖDERTÄLJE</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34193-2024</t>
        </is>
      </c>
      <c r="B163" t="inlineStr">
        <is>
          <t>avverkningsanmälan</t>
        </is>
      </c>
      <c r="C163" t="inlineStr">
        <is>
          <t>Föryngringsavverkning</t>
        </is>
      </c>
      <c r="D163" s="1" t="n">
        <v>45524</v>
      </c>
      <c r="E163" s="1" t="n">
        <v>46234</v>
      </c>
      <c r="F163" t="inlineStr">
        <is>
          <t>STOCKHOLMS LÄN</t>
        </is>
      </c>
      <c r="G163" t="inlineStr">
        <is>
          <t>SÖDERTÄLJE</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25415-2025</t>
        </is>
      </c>
      <c r="B164" t="inlineStr">
        <is>
          <t>avverkningsanmälan</t>
        </is>
      </c>
      <c r="C164" t="inlineStr">
        <is>
          <t>Föryngringsavverkning</t>
        </is>
      </c>
      <c r="D164" s="1" t="n">
        <v>45799</v>
      </c>
      <c r="E164" s="1" t="n">
        <v>46234</v>
      </c>
      <c r="F164" t="inlineStr">
        <is>
          <t>STOCKHOLMS LÄN</t>
        </is>
      </c>
      <c r="G164" t="inlineStr">
        <is>
          <t>SÖDERTÄLJE</t>
        </is>
      </c>
      <c r="I164" t="n">
        <v>10.8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20603-2026</t>
        </is>
      </c>
      <c r="B165" t="inlineStr">
        <is>
          <t>avverkningsanmälan</t>
        </is>
      </c>
      <c r="C165" t="inlineStr">
        <is>
          <t>Föryngringsavverkning</t>
        </is>
      </c>
      <c r="D165" s="1" t="n">
        <v>46140</v>
      </c>
      <c r="E165" s="1" t="n">
        <v>46234</v>
      </c>
      <c r="F165" t="inlineStr">
        <is>
          <t>STOCKHOLMS LÄN</t>
        </is>
      </c>
      <c r="G165" t="inlineStr">
        <is>
          <t>SÖDERTÄLJE</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26812-2022</t>
        </is>
      </c>
      <c r="B166" t="inlineStr">
        <is>
          <t>avverkningsanmälan</t>
        </is>
      </c>
      <c r="C166" t="inlineStr">
        <is>
          <t>Föryngringsavverkning</t>
        </is>
      </c>
      <c r="D166" s="1" t="n">
        <v>44740</v>
      </c>
      <c r="E166" s="1" t="n">
        <v>46234</v>
      </c>
      <c r="F166" t="inlineStr">
        <is>
          <t>STOCKHOLMS LÄN</t>
        </is>
      </c>
      <c r="G166" t="inlineStr">
        <is>
          <t>SÖDERTÄLJE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20582-2026</t>
        </is>
      </c>
      <c r="B167" t="inlineStr">
        <is>
          <t>avverkningsanmälan</t>
        </is>
      </c>
      <c r="C167" t="inlineStr">
        <is>
          <t>Föryngringsavverkning</t>
        </is>
      </c>
      <c r="D167" s="1" t="n">
        <v>46140</v>
      </c>
      <c r="E167" s="1" t="n">
        <v>46234</v>
      </c>
      <c r="F167" t="inlineStr">
        <is>
          <t>STOCKHOLMS LÄN</t>
        </is>
      </c>
      <c r="G167" t="inlineStr">
        <is>
          <t>SÖDERTÄLJE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20596-2026</t>
        </is>
      </c>
      <c r="B168" t="inlineStr">
        <is>
          <t>avverkningsanmälan</t>
        </is>
      </c>
      <c r="C168" t="inlineStr">
        <is>
          <t>Föryngringsavverkning</t>
        </is>
      </c>
      <c r="D168" s="1" t="n">
        <v>46140</v>
      </c>
      <c r="E168" s="1" t="n">
        <v>46234</v>
      </c>
      <c r="F168" t="inlineStr">
        <is>
          <t>STOCKHOLMS LÄN</t>
        </is>
      </c>
      <c r="G168" t="inlineStr">
        <is>
          <t>SÖDERTÄLJE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20579-2026</t>
        </is>
      </c>
      <c r="B169" t="inlineStr">
        <is>
          <t>avverkningsanmälan</t>
        </is>
      </c>
      <c r="C169" t="inlineStr">
        <is>
          <t>Föryngringsavverkning</t>
        </is>
      </c>
      <c r="D169" s="1" t="n">
        <v>46140</v>
      </c>
      <c r="E169" s="1" t="n">
        <v>46234</v>
      </c>
      <c r="F169" t="inlineStr">
        <is>
          <t>STOCKHOLMS LÄN</t>
        </is>
      </c>
      <c r="G169" t="inlineStr">
        <is>
          <t>SÖDERTÄLJE</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20591-2026</t>
        </is>
      </c>
      <c r="B170" t="inlineStr">
        <is>
          <t>avverkningsanmälan</t>
        </is>
      </c>
      <c r="C170" t="inlineStr">
        <is>
          <t>Föryngringsavverkning</t>
        </is>
      </c>
      <c r="D170" s="1" t="n">
        <v>46140</v>
      </c>
      <c r="E170" s="1" t="n">
        <v>46234</v>
      </c>
      <c r="F170" t="inlineStr">
        <is>
          <t>STOCKHOLMS LÄN</t>
        </is>
      </c>
      <c r="G170" t="inlineStr">
        <is>
          <t>SÖDERTÄLJE</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57884-2021</t>
        </is>
      </c>
      <c r="B171" t="inlineStr">
        <is>
          <t>avverkningsanmälan</t>
        </is>
      </c>
      <c r="C171" t="inlineStr">
        <is>
          <t>Föryngringsavverkning</t>
        </is>
      </c>
      <c r="D171" s="1" t="n">
        <v>44485</v>
      </c>
      <c r="E171" s="1" t="n">
        <v>46234</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6886-2022</t>
        </is>
      </c>
      <c r="B172" t="inlineStr">
        <is>
          <t>avverkningsanmälan</t>
        </is>
      </c>
      <c r="C172" t="inlineStr">
        <is>
          <t>Föryngringsavverkning</t>
        </is>
      </c>
      <c r="D172" s="1" t="n">
        <v>44602</v>
      </c>
      <c r="E172" s="1" t="n">
        <v>46234</v>
      </c>
      <c r="F172" t="inlineStr">
        <is>
          <t>STOCKHOLMS LÄN</t>
        </is>
      </c>
      <c r="G172" t="inlineStr">
        <is>
          <t>SÖDERTÄLJE</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21483-2026</t>
        </is>
      </c>
      <c r="B173" t="inlineStr">
        <is>
          <t>avverkningsanmälan</t>
        </is>
      </c>
      <c r="C173" t="inlineStr">
        <is>
          <t>Avverkning för annat ändamål</t>
        </is>
      </c>
      <c r="D173" s="1" t="n">
        <v>46148</v>
      </c>
      <c r="E173" s="1" t="n">
        <v>46234</v>
      </c>
      <c r="F173" t="inlineStr">
        <is>
          <t>STOCKHOLMS LÄN</t>
        </is>
      </c>
      <c r="G173" t="inlineStr">
        <is>
          <t>SÖDERTÄLJE</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1016-2022</t>
        </is>
      </c>
      <c r="B174" t="inlineStr">
        <is>
          <t>avverkningsanmälan</t>
        </is>
      </c>
      <c r="C174" t="inlineStr">
        <is>
          <t>Avverkning för annat ändamål</t>
        </is>
      </c>
      <c r="D174" s="1" t="n">
        <v>44571</v>
      </c>
      <c r="E174" s="1" t="n">
        <v>46234</v>
      </c>
      <c r="F174" t="inlineStr">
        <is>
          <t>STOCKHOLMS LÄN</t>
        </is>
      </c>
      <c r="G174" t="inlineStr">
        <is>
          <t>SÖDERTÄLJE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35942-2022</t>
        </is>
      </c>
      <c r="B175" t="inlineStr">
        <is>
          <t>avverkningsanmälan</t>
        </is>
      </c>
      <c r="C175" t="inlineStr">
        <is>
          <t>Avverkning för annat ändamål</t>
        </is>
      </c>
      <c r="D175" s="1" t="n">
        <v>44802</v>
      </c>
      <c r="E175" s="1" t="n">
        <v>46234</v>
      </c>
      <c r="F175" t="inlineStr">
        <is>
          <t>STOCKHOLMS LÄN</t>
        </is>
      </c>
      <c r="G175" t="inlineStr">
        <is>
          <t>SÖDERTÄLJE</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3383-2024</t>
        </is>
      </c>
      <c r="B176" t="inlineStr">
        <is>
          <t>avverkningsanmälan</t>
        </is>
      </c>
      <c r="C176" t="inlineStr">
        <is>
          <t>Avverkning för att bevara och utveckla /försöksver</t>
        </is>
      </c>
      <c r="D176" s="1" t="n">
        <v>45317</v>
      </c>
      <c r="E176" s="1" t="n">
        <v>46234</v>
      </c>
      <c r="F176" t="inlineStr">
        <is>
          <t>STOCKHOLMS LÄN</t>
        </is>
      </c>
      <c r="G176" t="inlineStr">
        <is>
          <t>SÖDERTÄLJE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24034-2022</t>
        </is>
      </c>
      <c r="B177" t="inlineStr">
        <is>
          <t>avverkningsanmälan</t>
        </is>
      </c>
      <c r="C177" t="inlineStr">
        <is>
          <t>Föryngringsavverkning</t>
        </is>
      </c>
      <c r="D177" s="1" t="n">
        <v>44724</v>
      </c>
      <c r="E177" s="1" t="n">
        <v>46234</v>
      </c>
      <c r="F177" t="inlineStr">
        <is>
          <t>STOCKHOLMS LÄN</t>
        </is>
      </c>
      <c r="G177" t="inlineStr">
        <is>
          <t>SÖDERTÄLJE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28175-2026</t>
        </is>
      </c>
      <c r="B178" t="inlineStr">
        <is>
          <t>avverkningsanmälan</t>
        </is>
      </c>
      <c r="C178" t="inlineStr">
        <is>
          <t>Avverkning för annat ändamål</t>
        </is>
      </c>
      <c r="D178" s="1" t="n">
        <v>46195</v>
      </c>
      <c r="E178" s="1" t="n">
        <v>46234</v>
      </c>
      <c r="F178" t="inlineStr">
        <is>
          <t>STOCKHOLMS LÄN</t>
        </is>
      </c>
      <c r="G178" t="inlineStr">
        <is>
          <t>SÖDERTÄLJE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72218-2021</t>
        </is>
      </c>
      <c r="B179" t="inlineStr">
        <is>
          <t>avverkningsanmälan</t>
        </is>
      </c>
      <c r="C179" t="inlineStr">
        <is>
          <t>Föryngringsavverkning</t>
        </is>
      </c>
      <c r="D179" s="1" t="n">
        <v>44544</v>
      </c>
      <c r="E179" s="1" t="n">
        <v>46234</v>
      </c>
      <c r="F179" t="inlineStr">
        <is>
          <t>STOCKHOLMS LÄN</t>
        </is>
      </c>
      <c r="G179" t="inlineStr">
        <is>
          <t>SÖDERTÄLJE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49136-2021</t>
        </is>
      </c>
      <c r="B180" t="inlineStr">
        <is>
          <t>avverkningsanmälan</t>
        </is>
      </c>
      <c r="C180" t="inlineStr">
        <is>
          <t>Föryngringsavverkning</t>
        </is>
      </c>
      <c r="D180" s="1" t="n">
        <v>44453</v>
      </c>
      <c r="E180" s="1" t="n">
        <v>46234</v>
      </c>
      <c r="F180" t="inlineStr">
        <is>
          <t>STOCKHOLMS LÄN</t>
        </is>
      </c>
      <c r="G180" t="inlineStr">
        <is>
          <t>SÖDERTÄLJE</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45674-2021</t>
        </is>
      </c>
      <c r="B181" t="inlineStr">
        <is>
          <t>avverkningsanmälan</t>
        </is>
      </c>
      <c r="C181" t="inlineStr">
        <is>
          <t>Föryngringsavverkning</t>
        </is>
      </c>
      <c r="D181" s="1" t="n">
        <v>44441</v>
      </c>
      <c r="E181" s="1" t="n">
        <v>46234</v>
      </c>
      <c r="F181" t="inlineStr">
        <is>
          <t>STOCKHOLMS LÄN</t>
        </is>
      </c>
      <c r="G181" t="inlineStr">
        <is>
          <t>SÖDERTÄLJE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20530-2024</t>
        </is>
      </c>
      <c r="B182" t="inlineStr">
        <is>
          <t>avverkningsanmälan</t>
        </is>
      </c>
      <c r="C182" t="inlineStr">
        <is>
          <t>Avverkning för annat ändamål</t>
        </is>
      </c>
      <c r="D182" s="1" t="n">
        <v>45435</v>
      </c>
      <c r="E182" s="1" t="n">
        <v>46234</v>
      </c>
      <c r="F182" t="inlineStr">
        <is>
          <t>STOCKHOLMS LÄN</t>
        </is>
      </c>
      <c r="G182" t="inlineStr">
        <is>
          <t>SÖDERTÄLJE</t>
        </is>
      </c>
      <c r="H182" t="inlineStr">
        <is>
          <t>Övriga Aktiebolag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35918-2022</t>
        </is>
      </c>
      <c r="B183" t="inlineStr">
        <is>
          <t>avverkningsanmälan</t>
        </is>
      </c>
      <c r="C183" t="inlineStr">
        <is>
          <t>Avverkning för annat ändamål</t>
        </is>
      </c>
      <c r="D183" s="1" t="n">
        <v>44802</v>
      </c>
      <c r="E183" s="1" t="n">
        <v>46234</v>
      </c>
      <c r="F183" t="inlineStr">
        <is>
          <t>STOCKHOLMS LÄN</t>
        </is>
      </c>
      <c r="G183" t="inlineStr">
        <is>
          <t>SÖDERTÄLJE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55940-2023</t>
        </is>
      </c>
      <c r="B184" t="inlineStr">
        <is>
          <t>avverkningsanmälan</t>
        </is>
      </c>
      <c r="C184" t="inlineStr">
        <is>
          <t>Föryngringsavverkning</t>
        </is>
      </c>
      <c r="D184" s="1" t="n">
        <v>45240</v>
      </c>
      <c r="E184" s="1" t="n">
        <v>46234</v>
      </c>
      <c r="F184" t="inlineStr">
        <is>
          <t>STOCKHOLMS LÄN</t>
        </is>
      </c>
      <c r="G184" t="inlineStr">
        <is>
          <t>SÖDERTÄLJE</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51931-2023</t>
        </is>
      </c>
      <c r="B185" t="inlineStr">
        <is>
          <t>avverkningsanmälan</t>
        </is>
      </c>
      <c r="C185" t="inlineStr">
        <is>
          <t>Föryngringsavverkning</t>
        </is>
      </c>
      <c r="D185" s="1" t="n">
        <v>45216</v>
      </c>
      <c r="E185" s="1" t="n">
        <v>46234</v>
      </c>
      <c r="F185" t="inlineStr">
        <is>
          <t>STOCKHOLMS LÄN</t>
        </is>
      </c>
      <c r="G185" t="inlineStr">
        <is>
          <t>SÖDERTÄLJE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34194-2024</t>
        </is>
      </c>
      <c r="B186" t="inlineStr">
        <is>
          <t>avverkningsanmälan</t>
        </is>
      </c>
      <c r="C186" t="inlineStr">
        <is>
          <t>Föryngringsavverkning</t>
        </is>
      </c>
      <c r="D186" s="1" t="n">
        <v>45524</v>
      </c>
      <c r="E186" s="1" t="n">
        <v>46234</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4440-2023</t>
        </is>
      </c>
      <c r="B187" t="inlineStr">
        <is>
          <t>avverkningsanmälan</t>
        </is>
      </c>
      <c r="C187" t="inlineStr">
        <is>
          <t>Föryngringsavverkning</t>
        </is>
      </c>
      <c r="D187" s="1" t="n">
        <v>44956</v>
      </c>
      <c r="E187" s="1" t="n">
        <v>46234</v>
      </c>
      <c r="F187" t="inlineStr">
        <is>
          <t>STOCKHOLMS LÄN</t>
        </is>
      </c>
      <c r="G187" t="inlineStr">
        <is>
          <t>SÖDERTÄLJE</t>
        </is>
      </c>
      <c r="I187" t="n">
        <v>18.4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10446-2026</t>
        </is>
      </c>
      <c r="B188" t="inlineStr">
        <is>
          <t>avverkningsanmälan</t>
        </is>
      </c>
      <c r="C188" t="inlineStr">
        <is>
          <t>Föryngringsavverkning</t>
        </is>
      </c>
      <c r="D188" s="1" t="n">
        <v>46077</v>
      </c>
      <c r="E188" s="1" t="n">
        <v>46234</v>
      </c>
      <c r="F188" t="inlineStr">
        <is>
          <t>STOCKHOLMS LÄN</t>
        </is>
      </c>
      <c r="G188" t="inlineStr">
        <is>
          <t>SÖDERTÄLJE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1759-2025</t>
        </is>
      </c>
      <c r="B189" t="inlineStr">
        <is>
          <t>avverkningsanmälan</t>
        </is>
      </c>
      <c r="C189" t="inlineStr">
        <is>
          <t>Föryngringsavverkning</t>
        </is>
      </c>
      <c r="D189" s="1" t="n">
        <v>45671</v>
      </c>
      <c r="E189" s="1" t="n">
        <v>46234</v>
      </c>
      <c r="F189" t="inlineStr">
        <is>
          <t>STOCKHOLMS LÄN</t>
        </is>
      </c>
      <c r="G189" t="inlineStr">
        <is>
          <t>SÖDERTÄLJE</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23632-2026</t>
        </is>
      </c>
      <c r="B190" t="inlineStr">
        <is>
          <t>avverkningsanmälan</t>
        </is>
      </c>
      <c r="C190" t="inlineStr">
        <is>
          <t>Föryngringsavverkning</t>
        </is>
      </c>
      <c r="D190" s="1" t="n">
        <v>46163</v>
      </c>
      <c r="E190" s="1" t="n">
        <v>46234</v>
      </c>
      <c r="F190" t="inlineStr">
        <is>
          <t>STOCKHOLMS LÄN</t>
        </is>
      </c>
      <c r="G190" t="inlineStr">
        <is>
          <t>SÖDERTÄLJE</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45184-2022</t>
        </is>
      </c>
      <c r="B191" t="inlineStr">
        <is>
          <t>avverkningsanmälan</t>
        </is>
      </c>
      <c r="C191" t="inlineStr">
        <is>
          <t>Föryngringsavverkning</t>
        </is>
      </c>
      <c r="D191" s="1" t="n">
        <v>44844</v>
      </c>
      <c r="E191" s="1" t="n">
        <v>46234</v>
      </c>
      <c r="F191" t="inlineStr">
        <is>
          <t>STOCKHOLMS LÄN</t>
        </is>
      </c>
      <c r="G191" t="inlineStr">
        <is>
          <t>SÖDERTÄLJE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2529-2023</t>
        </is>
      </c>
      <c r="B192" t="inlineStr">
        <is>
          <t>avverkningsanmälan</t>
        </is>
      </c>
      <c r="C192" t="inlineStr">
        <is>
          <t>Föryngringsavverkning</t>
        </is>
      </c>
      <c r="D192" s="1" t="n">
        <v>44943</v>
      </c>
      <c r="E192" s="1" t="n">
        <v>46234</v>
      </c>
      <c r="F192" t="inlineStr">
        <is>
          <t>STOCKHOLMS LÄN</t>
        </is>
      </c>
      <c r="G192" t="inlineStr">
        <is>
          <t>SÖDERTÄLJE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36112-2022</t>
        </is>
      </c>
      <c r="B193" t="inlineStr">
        <is>
          <t>avverkningsanmälan</t>
        </is>
      </c>
      <c r="C193" t="inlineStr">
        <is>
          <t>Avverkning för annat ändamål</t>
        </is>
      </c>
      <c r="D193" s="1" t="n">
        <v>44802</v>
      </c>
      <c r="E193" s="1" t="n">
        <v>46234</v>
      </c>
      <c r="F193" t="inlineStr">
        <is>
          <t>STOCKHOLMS LÄN</t>
        </is>
      </c>
      <c r="G193" t="inlineStr">
        <is>
          <t>SÖDERTÄLJE</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37536-2024</t>
        </is>
      </c>
      <c r="B194" t="inlineStr">
        <is>
          <t>avverkningsanmälan</t>
        </is>
      </c>
      <c r="C194" t="inlineStr">
        <is>
          <t>Föryngringsavverkning</t>
        </is>
      </c>
      <c r="D194" s="1" t="n">
        <v>45541</v>
      </c>
      <c r="E194" s="1" t="n">
        <v>46234</v>
      </c>
      <c r="F194" t="inlineStr">
        <is>
          <t>STOCKHOLMS LÄN</t>
        </is>
      </c>
      <c r="G194" t="inlineStr">
        <is>
          <t>SÖDERTÄLJE</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1150-2026</t>
        </is>
      </c>
      <c r="B195" t="inlineStr">
        <is>
          <t>avverkningsanmälan</t>
        </is>
      </c>
      <c r="C195" t="inlineStr">
        <is>
          <t>Föryngringsavverkning</t>
        </is>
      </c>
      <c r="D195" s="1" t="n">
        <v>46030</v>
      </c>
      <c r="E195" s="1" t="n">
        <v>46234</v>
      </c>
      <c r="F195" t="inlineStr">
        <is>
          <t>STOCKHOLMS LÄN</t>
        </is>
      </c>
      <c r="G195" t="inlineStr">
        <is>
          <t>SÖDERTÄLJE</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25288-2026</t>
        </is>
      </c>
      <c r="B196" t="inlineStr">
        <is>
          <t>avverkningsanmälan</t>
        </is>
      </c>
      <c r="C196" t="inlineStr">
        <is>
          <t>Föryngringsavverkning</t>
        </is>
      </c>
      <c r="D196" s="1" t="n">
        <v>46176</v>
      </c>
      <c r="E196" s="1" t="n">
        <v>46234</v>
      </c>
      <c r="F196" t="inlineStr">
        <is>
          <t>STOCKHOLMS LÄN</t>
        </is>
      </c>
      <c r="G196" t="inlineStr">
        <is>
          <t>SÖDERTÄLJE</t>
        </is>
      </c>
      <c r="H196" t="inlineStr">
        <is>
          <t>Kommuner</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27006-2026</t>
        </is>
      </c>
      <c r="B197" t="inlineStr">
        <is>
          <t>avverkningsanmälan</t>
        </is>
      </c>
      <c r="C197" t="inlineStr">
        <is>
          <t>Avverkning för annat ändamål</t>
        </is>
      </c>
      <c r="D197" s="1" t="n">
        <v>46185</v>
      </c>
      <c r="E197" s="1" t="n">
        <v>46234</v>
      </c>
      <c r="F197" t="inlineStr">
        <is>
          <t>STOCKHOLMS LÄN</t>
        </is>
      </c>
      <c r="G197" t="inlineStr">
        <is>
          <t>SÖDERTÄLJE</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27257-2026</t>
        </is>
      </c>
      <c r="B198" t="inlineStr">
        <is>
          <t>avverkningsanmälan</t>
        </is>
      </c>
      <c r="C198" t="inlineStr">
        <is>
          <t>Föryngringsavverkning</t>
        </is>
      </c>
      <c r="D198" s="1" t="n">
        <v>46188</v>
      </c>
      <c r="E198" s="1" t="n">
        <v>46234</v>
      </c>
      <c r="F198" t="inlineStr">
        <is>
          <t>STOCKHOLMS LÄN</t>
        </is>
      </c>
      <c r="G198" t="inlineStr">
        <is>
          <t>SÖDERTÄLJE</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46234</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46234</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46234</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46234</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46234</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46234</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46234</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2026-07-31T01:54:08Z</dcterms:created>
  <dcterms:modified xmlns:dcterms="http://purl.org/dc/terms/" xmlns:xsi="http://www.w3.org/2001/XMLSchema-instance" xsi:type="dcterms:W3CDTF">2026-07-31T01:54:08Z</dcterms:modified>
</cp:coreProperties>
</file>