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46299</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46299</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46299</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46299</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46299</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46299</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46299</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46299</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46299</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57411-2025</t>
        </is>
      </c>
      <c r="B16" t="inlineStr">
        <is>
          <t>avverkningsanmälan</t>
        </is>
      </c>
      <c r="C16" t="inlineStr">
        <is>
          <t>Föryngringsavverkning</t>
        </is>
      </c>
      <c r="D16" s="1" t="n">
        <v>45980</v>
      </c>
      <c r="E16" s="1" t="n">
        <v>46299</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36854-2025</t>
        </is>
      </c>
      <c r="B17" t="inlineStr">
        <is>
          <t>avverkningsanmälan</t>
        </is>
      </c>
      <c r="C17" t="inlineStr">
        <is>
          <t>Föryngringsavverkning</t>
        </is>
      </c>
      <c r="D17" s="1" t="n">
        <v>45874</v>
      </c>
      <c r="E17" s="1" t="n">
        <v>46299</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23357-2026</t>
        </is>
      </c>
      <c r="B18" t="inlineStr">
        <is>
          <t>avverkningsanmälan</t>
        </is>
      </c>
      <c r="C18" t="inlineStr">
        <is>
          <t>Föryngringsavverkning</t>
        </is>
      </c>
      <c r="D18" s="1" t="n">
        <v>46162</v>
      </c>
      <c r="E18" s="1" t="n">
        <v>46299</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97-2024</t>
        </is>
      </c>
      <c r="B19" t="inlineStr">
        <is>
          <t>avverkningsanmälan</t>
        </is>
      </c>
      <c r="C19" t="inlineStr">
        <is>
          <t>Föryngringsavverkning</t>
        </is>
      </c>
      <c r="D19" s="1" t="n">
        <v>45293</v>
      </c>
      <c r="E19" s="1" t="n">
        <v>46299</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S 2839-2024</t>
        </is>
      </c>
      <c r="B20" t="inlineStr">
        <is>
          <t>samrådsanmälan</t>
        </is>
      </c>
      <c r="C20" t="inlineStr">
        <is>
          <t>Annan skogsbruksåtgärd</t>
        </is>
      </c>
      <c r="D20" s="1" t="n">
        <v>45492</v>
      </c>
      <c r="E20" s="1" t="n">
        <v>46299</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46299</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2680-2026</t>
        </is>
      </c>
      <c r="B22" t="inlineStr">
        <is>
          <t>avverkningsanmälan</t>
        </is>
      </c>
      <c r="C22" t="inlineStr">
        <is>
          <t>Föryngringsavverkning</t>
        </is>
      </c>
      <c r="D22" s="1" t="n">
        <v>46037</v>
      </c>
      <c r="E22" s="1" t="n">
        <v>46299</v>
      </c>
      <c r="F22" t="inlineStr">
        <is>
          <t>STOCKHOLMS LÄN</t>
        </is>
      </c>
      <c r="G22" t="inlineStr">
        <is>
          <t>SÖDERTÄLJE</t>
        </is>
      </c>
      <c r="I22" t="n">
        <v>2.2</v>
      </c>
      <c r="J22" t="n">
        <v>0</v>
      </c>
      <c r="K22" t="n">
        <v>2</v>
      </c>
      <c r="L22" t="n">
        <v>3</v>
      </c>
      <c r="M22" t="n">
        <v>0</v>
      </c>
      <c r="N22" t="n">
        <v>0</v>
      </c>
      <c r="O22" t="n">
        <v>0</v>
      </c>
      <c r="P22" t="n">
        <v>0</v>
      </c>
      <c r="Q22" t="n">
        <v>3</v>
      </c>
      <c r="R22" t="n">
        <v>0</v>
      </c>
      <c r="S22" t="n">
        <v>5</v>
      </c>
      <c r="T22" t="n">
        <v>5</v>
      </c>
      <c r="U22" t="n">
        <v>0</v>
      </c>
      <c r="V22" s="2" t="inlineStr">
        <is>
          <t>Klasefibbla
Svinrot
Vårärt
Springkorn
Svart trolldruva</t>
        </is>
      </c>
      <c r="W22">
        <f>HYPERLINK("https://klasma.github.io/Logging_0181/artfynd/A 2680-2026 artfynd.xlsx", "A 2680-2026")</f>
        <v/>
      </c>
      <c r="X22">
        <f>HYPERLINK("https://klasma.github.io/Logging_0181/kartor/A 2680-2026 karta.png", "A 2680-2026")</f>
        <v/>
      </c>
      <c r="Y22">
        <f>HYPERLINK("https://klasma.github.io/Logging_0181/kartor_geotiff/A 2680-2026 georefererad karta.tif", "A 2680-2026")</f>
        <v/>
      </c>
      <c r="AA22">
        <f>HYPERLINK("https://klasma.github.io/Logging_0181/klagomål/A 2680-2026 FSC-klagomål.docx", "A 2680-2026")</f>
        <v/>
      </c>
      <c r="AB22">
        <f>HYPERLINK("https://klasma.github.io/Logging_0181/klagomålsmail/A 2680-2026 FSC-klagomål mail.docx", "A 2680-2026")</f>
        <v/>
      </c>
      <c r="AC22">
        <f>HYPERLINK("https://klasma.github.io/Logging_0181/tillsyn/A 2680-2026 tillsynsbegäran.docx", "A 2680-2026")</f>
        <v/>
      </c>
      <c r="AD22">
        <f>HYPERLINK("https://klasma.github.io/Logging_0181/tillsynsmail/A 2680-2026 tillsynsbegäran mail.docx", "A 2680-2026")</f>
        <v/>
      </c>
    </row>
    <row r="23" ht="15" customHeight="1">
      <c r="A23" t="inlineStr">
        <is>
          <t>A 48341-2025</t>
        </is>
      </c>
      <c r="B23" t="inlineStr">
        <is>
          <t>avverkningsanmälan</t>
        </is>
      </c>
      <c r="C23" t="inlineStr">
        <is>
          <t>Föryngringsavverkning</t>
        </is>
      </c>
      <c r="D23" s="1" t="n">
        <v>45933</v>
      </c>
      <c r="E23" s="1" t="n">
        <v>46299</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9205-2026</t>
        </is>
      </c>
      <c r="B24" t="inlineStr">
        <is>
          <t>avverkningsanmälan</t>
        </is>
      </c>
      <c r="C24" t="inlineStr">
        <is>
          <t>Föryngringsavverkning</t>
        </is>
      </c>
      <c r="D24" s="1" t="n">
        <v>46070</v>
      </c>
      <c r="E24" s="1" t="n">
        <v>46299</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49850-2025</t>
        </is>
      </c>
      <c r="B25" t="inlineStr">
        <is>
          <t>avverkningsanmälan</t>
        </is>
      </c>
      <c r="C25" t="inlineStr">
        <is>
          <t>Föryngringsavverkning</t>
        </is>
      </c>
      <c r="D25" s="1" t="n">
        <v>45940</v>
      </c>
      <c r="E25" s="1" t="n">
        <v>46299</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46299</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14771-2022</t>
        </is>
      </c>
      <c r="B27" t="inlineStr">
        <is>
          <t>avverkningsanmälan</t>
        </is>
      </c>
      <c r="C27" t="inlineStr">
        <is>
          <t>Föryngringsavverkning</t>
        </is>
      </c>
      <c r="D27" s="1" t="n">
        <v>44656</v>
      </c>
      <c r="E27" s="1" t="n">
        <v>46299</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46299</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27972-2022</t>
        </is>
      </c>
      <c r="B29" t="inlineStr">
        <is>
          <t>avverkningsanmälan</t>
        </is>
      </c>
      <c r="C29" t="inlineStr">
        <is>
          <t>Föryngringsavverkning</t>
        </is>
      </c>
      <c r="D29" s="1" t="n">
        <v>44744</v>
      </c>
      <c r="E29" s="1" t="n">
        <v>46299</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46299</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46299</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46299</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46299</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46299</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3711-2026</t>
        </is>
      </c>
      <c r="B35" t="inlineStr">
        <is>
          <t>avverkningsanmälan</t>
        </is>
      </c>
      <c r="C35" t="inlineStr">
        <is>
          <t>Föryngringsavverkning</t>
        </is>
      </c>
      <c r="D35" s="1" t="n">
        <v>46043</v>
      </c>
      <c r="E35" s="1" t="n">
        <v>46299</v>
      </c>
      <c r="F35" t="inlineStr">
        <is>
          <t>STOCKHOLMS LÄN</t>
        </is>
      </c>
      <c r="G35" t="inlineStr">
        <is>
          <t>SÖDERTÄLJE</t>
        </is>
      </c>
      <c r="I35" t="n">
        <v>5.3</v>
      </c>
      <c r="J35" t="n">
        <v>1</v>
      </c>
      <c r="K35" t="n">
        <v>0</v>
      </c>
      <c r="L35" t="n">
        <v>1</v>
      </c>
      <c r="M35" t="n">
        <v>0</v>
      </c>
      <c r="N35" t="n">
        <v>0</v>
      </c>
      <c r="O35" t="n">
        <v>0</v>
      </c>
      <c r="P35" t="n">
        <v>0</v>
      </c>
      <c r="Q35" t="n">
        <v>1</v>
      </c>
      <c r="R35" t="n">
        <v>0</v>
      </c>
      <c r="S35" t="n">
        <v>2</v>
      </c>
      <c r="T35" t="n">
        <v>3</v>
      </c>
      <c r="U35" t="n">
        <v>0</v>
      </c>
      <c r="V35" s="2" t="inlineStr">
        <is>
          <t>Motaggsvamp
Spillkråka</t>
        </is>
      </c>
      <c r="W35">
        <f>HYPERLINK("https://klasma.github.io/Logging_0181/artfynd/A 3711-2026 artfynd.xlsx", "A 3711-2026")</f>
        <v/>
      </c>
      <c r="X35">
        <f>HYPERLINK("https://klasma.github.io/Logging_0181/kartor/A 3711-2026 karta.png", "A 3711-2026")</f>
        <v/>
      </c>
      <c r="Y35">
        <f>HYPERLINK("https://klasma.github.io/Logging_0181/kartor_geotiff/A 3711-2026 georefererad karta.tif", "A 3711-2026")</f>
        <v/>
      </c>
      <c r="AA35">
        <f>HYPERLINK("https://klasma.github.io/Logging_0181/klagomål/A 3711-2026 FSC-klagomål.docx", "A 3711-2026")</f>
        <v/>
      </c>
      <c r="AB35">
        <f>HYPERLINK("https://klasma.github.io/Logging_0181/klagomålsmail/A 3711-2026 FSC-klagomål mail.docx", "A 3711-2026")</f>
        <v/>
      </c>
      <c r="AC35">
        <f>HYPERLINK("https://klasma.github.io/Logging_0181/tillsyn/A 3711-2026 tillsynsbegäran.docx", "A 3711-2026")</f>
        <v/>
      </c>
      <c r="AD35">
        <f>HYPERLINK("https://klasma.github.io/Logging_0181/tillsynsmail/A 3711-2026 tillsynsbegäran mail.docx", "A 3711-2026")</f>
        <v/>
      </c>
      <c r="AE35">
        <f>HYPERLINK("https://klasma.github.io/Logging_0181/fåglar/A 3711-2026 prioriterade fågelarter.docx", "A 3711-2026")</f>
        <v/>
      </c>
    </row>
    <row r="36" ht="15" customHeight="1">
      <c r="A36" t="inlineStr">
        <is>
          <t>A 27058-2024</t>
        </is>
      </c>
      <c r="B36" t="inlineStr">
        <is>
          <t>avverkningsanmälan</t>
        </is>
      </c>
      <c r="C36" t="inlineStr">
        <is>
          <t>Avverkning för att bevara och utveckla /försöksver</t>
        </is>
      </c>
      <c r="D36" s="1" t="n">
        <v>45471</v>
      </c>
      <c r="E36" s="1" t="n">
        <v>46299</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55044-2025</t>
        </is>
      </c>
      <c r="B37" t="inlineStr">
        <is>
          <t>avverkningsanmälan</t>
        </is>
      </c>
      <c r="C37" t="inlineStr">
        <is>
          <t>Föryngringsavverkning</t>
        </is>
      </c>
      <c r="D37" s="1" t="n">
        <v>45967</v>
      </c>
      <c r="E37" s="1" t="n">
        <v>46299</v>
      </c>
      <c r="F37" t="inlineStr">
        <is>
          <t>STOCKHOLMS LÄN</t>
        </is>
      </c>
      <c r="G37" t="inlineStr">
        <is>
          <t>SÖDERTÄLJE</t>
        </is>
      </c>
      <c r="I37" t="n">
        <v>3.8</v>
      </c>
      <c r="J37" t="n">
        <v>2</v>
      </c>
      <c r="K37" t="n">
        <v>0</v>
      </c>
      <c r="L37" t="n">
        <v>0</v>
      </c>
      <c r="M37" t="n">
        <v>0</v>
      </c>
      <c r="N37" t="n">
        <v>0</v>
      </c>
      <c r="O37" t="n">
        <v>0</v>
      </c>
      <c r="P37" t="n">
        <v>0</v>
      </c>
      <c r="Q37" t="n">
        <v>0</v>
      </c>
      <c r="R37" t="n">
        <v>0</v>
      </c>
      <c r="S37" t="n">
        <v>2</v>
      </c>
      <c r="T37" t="n">
        <v>2</v>
      </c>
      <c r="U37" t="n">
        <v>1</v>
      </c>
      <c r="V37" s="2" t="inlineStr">
        <is>
          <t>Blåsippa
Spillkråka</t>
        </is>
      </c>
      <c r="W37">
        <f>HYPERLINK("https://klasma.github.io/Logging_0181/artfynd/A 55044-2025 artfynd.xlsx", "A 55044-2025")</f>
        <v/>
      </c>
      <c r="X37">
        <f>HYPERLINK("https://klasma.github.io/Logging_0181/kartor/A 55044-2025 karta.png", "A 55044-2025")</f>
        <v/>
      </c>
      <c r="Y37">
        <f>HYPERLINK("https://klasma.github.io/Logging_0181/kartor_geotiff/A 55044-2025 georefererad karta.tif", "A 55044-2025")</f>
        <v/>
      </c>
      <c r="AA37">
        <f>HYPERLINK("https://klasma.github.io/Logging_0181/klagomål/A 55044-2025 FSC-klagomål.docx", "A 55044-2025")</f>
        <v/>
      </c>
      <c r="AB37">
        <f>HYPERLINK("https://klasma.github.io/Logging_0181/klagomålsmail/A 55044-2025 FSC-klagomål mail.docx", "A 55044-2025")</f>
        <v/>
      </c>
      <c r="AC37">
        <f>HYPERLINK("https://klasma.github.io/Logging_0181/tillsyn/A 55044-2025 tillsynsbegäran.docx", "A 55044-2025")</f>
        <v/>
      </c>
      <c r="AD37">
        <f>HYPERLINK("https://klasma.github.io/Logging_0181/tillsynsmail/A 55044-2025 tillsynsbegäran mail.docx", "A 55044-2025")</f>
        <v/>
      </c>
      <c r="AE37">
        <f>HYPERLINK("https://klasma.github.io/Logging_0181/fåglar/A 55044-2025 prioriterade fågelarter.docx", "A 55044-2025")</f>
        <v/>
      </c>
    </row>
    <row r="38" ht="15" customHeight="1">
      <c r="A38" t="inlineStr">
        <is>
          <t>A 55941-2023</t>
        </is>
      </c>
      <c r="B38" t="inlineStr">
        <is>
          <t>avverkningsanmälan</t>
        </is>
      </c>
      <c r="C38" t="inlineStr">
        <is>
          <t>Föryngringsavverkning</t>
        </is>
      </c>
      <c r="D38" s="1" t="n">
        <v>45240</v>
      </c>
      <c r="E38" s="1" t="n">
        <v>46299</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46299</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43525-2023</t>
        </is>
      </c>
      <c r="B40" t="inlineStr">
        <is>
          <t>avverkningsanmälan</t>
        </is>
      </c>
      <c r="C40" t="inlineStr">
        <is>
          <t>Föryngringsavverkning</t>
        </is>
      </c>
      <c r="D40" s="1" t="n">
        <v>45184</v>
      </c>
      <c r="E40" s="1" t="n">
        <v>46299</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t="n">
        <v>6</v>
      </c>
      <c r="V40" s="2" t="inlineStr">
        <is>
          <t>Slåtterfibbla
Fläcknycklar</t>
        </is>
      </c>
      <c r="W40">
        <f>HYPERLINK("https://klasma.github.io/Logging_0181/artfynd/A 43525-2023 artfynd.xlsx", "A 43525-2023")</f>
        <v/>
      </c>
      <c r="X40">
        <f>HYPERLINK("https://klasma.github.io/Logging_0181/kartor/A 43525-2023 karta.png", "A 43525-2023")</f>
        <v/>
      </c>
      <c r="Y40">
        <f>HYPERLINK("https://klasma.github.io/Logging_0181/kartor_geotiff/A 43525-2023 georefererad karta.tif", "A 43525-2023")</f>
        <v/>
      </c>
      <c r="AA40">
        <f>HYPERLINK("https://klasma.github.io/Logging_0181/klagomål/A 43525-2023 FSC-klagomål.docx", "A 43525-2023")</f>
        <v/>
      </c>
      <c r="AB40">
        <f>HYPERLINK("https://klasma.github.io/Logging_0181/klagomålsmail/A 43525-2023 FSC-klagomål mail.docx", "A 43525-2023")</f>
        <v/>
      </c>
      <c r="AC40">
        <f>HYPERLINK("https://klasma.github.io/Logging_0181/tillsyn/A 43525-2023 tillsynsbegäran.docx", "A 43525-2023")</f>
        <v/>
      </c>
      <c r="AD40">
        <f>HYPERLINK("https://klasma.github.io/Logging_0181/tillsynsmail/A 43525-2023 tillsynsbegäran mail.docx", "A 43525-2023")</f>
        <v/>
      </c>
    </row>
    <row r="41" ht="15" customHeight="1">
      <c r="A41" t="inlineStr">
        <is>
          <t>A 55263-2021</t>
        </is>
      </c>
      <c r="B41" t="inlineStr">
        <is>
          <t>avverkningsanmälan</t>
        </is>
      </c>
      <c r="C41" t="inlineStr">
        <is>
          <t>Föryngringsavverkning</t>
        </is>
      </c>
      <c r="D41" s="1" t="n">
        <v>44475</v>
      </c>
      <c r="E41" s="1" t="n">
        <v>46299</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10263-2025</t>
        </is>
      </c>
      <c r="B42" t="inlineStr">
        <is>
          <t>avverkningsanmälan</t>
        </is>
      </c>
      <c r="C42" t="inlineStr">
        <is>
          <t>Föryngringsavverkning</t>
        </is>
      </c>
      <c r="D42" s="1" t="n">
        <v>45720</v>
      </c>
      <c r="E42" s="1" t="n">
        <v>46299</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16478-2025</t>
        </is>
      </c>
      <c r="B43" t="inlineStr">
        <is>
          <t>avverkningsanmälan</t>
        </is>
      </c>
      <c r="C43" t="inlineStr">
        <is>
          <t>Föryngringsavverkning</t>
        </is>
      </c>
      <c r="D43" s="1" t="n">
        <v>45751</v>
      </c>
      <c r="E43" s="1" t="n">
        <v>46299</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16724-2022</t>
        </is>
      </c>
      <c r="B44" t="inlineStr">
        <is>
          <t>avverkningsanmälan</t>
        </is>
      </c>
      <c r="C44" t="inlineStr">
        <is>
          <t>Avverkning för annat ändamål</t>
        </is>
      </c>
      <c r="D44" s="1" t="n">
        <v>44673</v>
      </c>
      <c r="E44" s="1" t="n">
        <v>46299</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52046-2022</t>
        </is>
      </c>
      <c r="B45" t="inlineStr">
        <is>
          <t>avverkningsanmälan</t>
        </is>
      </c>
      <c r="C45" t="inlineStr">
        <is>
          <t>Föryngringsavverkning</t>
        </is>
      </c>
      <c r="D45" s="1" t="n">
        <v>44868</v>
      </c>
      <c r="E45" s="1" t="n">
        <v>46299</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46299</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46299</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46299</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46299</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46299</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41702-2025</t>
        </is>
      </c>
      <c r="B51" t="inlineStr">
        <is>
          <t>avverkningsanmälan</t>
        </is>
      </c>
      <c r="C51" t="inlineStr">
        <is>
          <t>Föryngringsavverkning</t>
        </is>
      </c>
      <c r="D51" s="1" t="n">
        <v>45902</v>
      </c>
      <c r="E51" s="1" t="n">
        <v>46299</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23772-2025</t>
        </is>
      </c>
      <c r="B52" t="inlineStr">
        <is>
          <t>avverkningsanmälan</t>
        </is>
      </c>
      <c r="C52" t="inlineStr">
        <is>
          <t>Föryngringsavverkning</t>
        </is>
      </c>
      <c r="D52" s="1" t="n">
        <v>45793</v>
      </c>
      <c r="E52" s="1" t="n">
        <v>46299</v>
      </c>
      <c r="F52" t="inlineStr">
        <is>
          <t>STOCKHOLMS LÄN</t>
        </is>
      </c>
      <c r="G52" t="inlineStr">
        <is>
          <t>SÖDERTÄLJE</t>
        </is>
      </c>
      <c r="I52" t="n">
        <v>1.2</v>
      </c>
      <c r="J52" t="n">
        <v>1</v>
      </c>
      <c r="K52" t="n">
        <v>0</v>
      </c>
      <c r="L52" t="n">
        <v>1</v>
      </c>
      <c r="M52" t="n">
        <v>0</v>
      </c>
      <c r="N52" t="n">
        <v>0</v>
      </c>
      <c r="O52" t="n">
        <v>0</v>
      </c>
      <c r="P52" t="n">
        <v>0</v>
      </c>
      <c r="Q52" t="n">
        <v>1</v>
      </c>
      <c r="R52" t="n">
        <v>0</v>
      </c>
      <c r="S52" t="n">
        <v>1</v>
      </c>
      <c r="T52" t="n">
        <v>1</v>
      </c>
      <c r="U52" t="n">
        <v>0</v>
      </c>
      <c r="V52" s="2" t="inlineStr">
        <is>
          <t>Rödvingetrast</t>
        </is>
      </c>
      <c r="W52">
        <f>HYPERLINK("https://klasma.github.io/Logging_0181/artfynd/A 23772-2025 artfynd.xlsx", "A 23772-2025")</f>
        <v/>
      </c>
      <c r="X52">
        <f>HYPERLINK("https://klasma.github.io/Logging_0181/kartor/A 23772-2025 karta.png", "A 23772-2025")</f>
        <v/>
      </c>
      <c r="Y52">
        <f>HYPERLINK("https://klasma.github.io/Logging_0181/kartor_geotiff/A 23772-2025 georefererad karta.tif", "A 23772-2025")</f>
        <v/>
      </c>
      <c r="AA52">
        <f>HYPERLINK("https://klasma.github.io/Logging_0181/klagomål/A 23772-2025 FSC-klagomål.docx", "A 23772-2025")</f>
        <v/>
      </c>
      <c r="AB52">
        <f>HYPERLINK("https://klasma.github.io/Logging_0181/klagomålsmail/A 23772-2025 FSC-klagomål mail.docx", "A 23772-2025")</f>
        <v/>
      </c>
      <c r="AC52">
        <f>HYPERLINK("https://klasma.github.io/Logging_0181/tillsyn/A 23772-2025 tillsynsbegäran.docx", "A 23772-2025")</f>
        <v/>
      </c>
      <c r="AD52">
        <f>HYPERLINK("https://klasma.github.io/Logging_0181/tillsynsmail/A 23772-2025 tillsynsbegäran mail.docx", "A 23772-2025")</f>
        <v/>
      </c>
      <c r="AE52">
        <f>HYPERLINK("https://klasma.github.io/Logging_0181/fåglar/A 23772-2025 prioriterade fågelarter.docx", "A 23772-2025")</f>
        <v/>
      </c>
    </row>
    <row r="53" ht="15" customHeight="1">
      <c r="A53" t="inlineStr">
        <is>
          <t>A 32044-2023</t>
        </is>
      </c>
      <c r="B53" t="inlineStr">
        <is>
          <t>avverkningsanmälan</t>
        </is>
      </c>
      <c r="C53" t="inlineStr">
        <is>
          <t>Föryngringsavverkning</t>
        </is>
      </c>
      <c r="D53" s="1" t="n">
        <v>45119</v>
      </c>
      <c r="E53" s="1" t="n">
        <v>46299</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36502-2025</t>
        </is>
      </c>
      <c r="B54" t="inlineStr">
        <is>
          <t>avverkningsanmälan</t>
        </is>
      </c>
      <c r="C54" t="inlineStr">
        <is>
          <t>Föryngringsavverkning</t>
        </is>
      </c>
      <c r="D54" s="1" t="n">
        <v>45869</v>
      </c>
      <c r="E54" s="1" t="n">
        <v>46299</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46299</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12968-2024</t>
        </is>
      </c>
      <c r="B56" t="inlineStr">
        <is>
          <t>avverkningsanmälan</t>
        </is>
      </c>
      <c r="C56" t="inlineStr">
        <is>
          <t>Föryngringsavverkning</t>
        </is>
      </c>
      <c r="D56" s="1" t="n">
        <v>45385</v>
      </c>
      <c r="E56" s="1" t="n">
        <v>46299</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46299</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46299</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46299</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30565-2026</t>
        </is>
      </c>
      <c r="B60" t="inlineStr">
        <is>
          <t>avverkningsanmälan</t>
        </is>
      </c>
      <c r="C60" t="inlineStr">
        <is>
          <t>Föryngringsavverkning</t>
        </is>
      </c>
      <c r="D60" s="1" t="n">
        <v>46210</v>
      </c>
      <c r="E60" s="1" t="n">
        <v>46299</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1946-2022</t>
        </is>
      </c>
      <c r="B61" t="inlineStr">
        <is>
          <t>avverkningsanmälan</t>
        </is>
      </c>
      <c r="C61" t="inlineStr">
        <is>
          <t>Föryngringsavverkning</t>
        </is>
      </c>
      <c r="D61" s="1" t="n">
        <v>44575</v>
      </c>
      <c r="E61" s="1" t="n">
        <v>46299</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32522-2026</t>
        </is>
      </c>
      <c r="B62" t="inlineStr">
        <is>
          <t>avverkningsanmälan</t>
        </is>
      </c>
      <c r="C62" t="inlineStr">
        <is>
          <t>Föryngringsavverkning</t>
        </is>
      </c>
      <c r="D62" s="1" t="n">
        <v>46239</v>
      </c>
      <c r="E62" s="1" t="n">
        <v>46299</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19793-2024</t>
        </is>
      </c>
      <c r="B63" t="inlineStr">
        <is>
          <t>avverkningsanmälan</t>
        </is>
      </c>
      <c r="C63" t="inlineStr">
        <is>
          <t>Avverkning för annat ändamål</t>
        </is>
      </c>
      <c r="D63" s="1" t="n">
        <v>45432</v>
      </c>
      <c r="E63" s="1" t="n">
        <v>46299</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46299</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46299</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46299</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46299</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52541-2022</t>
        </is>
      </c>
      <c r="B68" t="inlineStr">
        <is>
          <t>avverkningsanmälan</t>
        </is>
      </c>
      <c r="C68" t="inlineStr">
        <is>
          <t>Avverkning för annat ändamål</t>
        </is>
      </c>
      <c r="D68" s="1" t="n">
        <v>44874</v>
      </c>
      <c r="E68" s="1" t="n">
        <v>46299</v>
      </c>
      <c r="F68" t="inlineStr">
        <is>
          <t>STOCKHOLMS LÄN</t>
        </is>
      </c>
      <c r="G68" t="inlineStr">
        <is>
          <t>SÖDERTÄLJE</t>
        </is>
      </c>
      <c r="I68" t="n">
        <v>0</v>
      </c>
      <c r="J68" t="n">
        <v>0</v>
      </c>
      <c r="K68" t="n">
        <v>0</v>
      </c>
      <c r="L68" t="n">
        <v>0</v>
      </c>
      <c r="M68" t="n">
        <v>0</v>
      </c>
      <c r="N68" t="n">
        <v>0</v>
      </c>
      <c r="O68" t="n">
        <v>0</v>
      </c>
      <c r="P68" t="n">
        <v>0</v>
      </c>
      <c r="Q68" t="n">
        <v>0</v>
      </c>
      <c r="R68" t="n">
        <v>0</v>
      </c>
      <c r="S68" t="n">
        <v>0</v>
      </c>
      <c r="T68" t="n">
        <v>0</v>
      </c>
      <c r="U68" t="n">
        <v>0</v>
      </c>
      <c r="V68" s="2" t="inlineStr"/>
    </row>
    <row r="69" ht="15" customHeight="1">
      <c r="A69" t="inlineStr">
        <is>
          <t>A 64111-2021</t>
        </is>
      </c>
      <c r="B69" t="inlineStr">
        <is>
          <t>avverkningsanmälan</t>
        </is>
      </c>
      <c r="C69" t="inlineStr">
        <is>
          <t>Föryngringsavverkning</t>
        </is>
      </c>
      <c r="D69" s="1" t="n">
        <v>44509</v>
      </c>
      <c r="E69" s="1" t="n">
        <v>46299</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46299</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46299</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46299</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46299</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3585-2022</t>
        </is>
      </c>
      <c r="B74" t="inlineStr">
        <is>
          <t>avverkningsanmälan</t>
        </is>
      </c>
      <c r="C74" t="inlineStr">
        <is>
          <t>Föryngringsavverkning</t>
        </is>
      </c>
      <c r="D74" s="1" t="n">
        <v>44586</v>
      </c>
      <c r="E74" s="1" t="n">
        <v>46299</v>
      </c>
      <c r="F74" t="inlineStr">
        <is>
          <t>STOCKHOLMS LÄN</t>
        </is>
      </c>
      <c r="G74" t="inlineStr">
        <is>
          <t>SÖDERTÄLJE</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62311-2023</t>
        </is>
      </c>
      <c r="B75" t="inlineStr">
        <is>
          <t>avverkningsanmälan</t>
        </is>
      </c>
      <c r="C75" t="inlineStr">
        <is>
          <t>Föryngringsavverkning</t>
        </is>
      </c>
      <c r="D75" s="1" t="n">
        <v>45266</v>
      </c>
      <c r="E75" s="1" t="n">
        <v>46299</v>
      </c>
      <c r="F75" t="inlineStr">
        <is>
          <t>STOCKHOLMS LÄN</t>
        </is>
      </c>
      <c r="G75" t="inlineStr">
        <is>
          <t>SÖDERTÄLJE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27970-2022</t>
        </is>
      </c>
      <c r="B76" t="inlineStr">
        <is>
          <t>avverkningsanmälan</t>
        </is>
      </c>
      <c r="C76" t="inlineStr">
        <is>
          <t>Föryngringsavverkning</t>
        </is>
      </c>
      <c r="D76" s="1" t="n">
        <v>44744</v>
      </c>
      <c r="E76" s="1" t="n">
        <v>46299</v>
      </c>
      <c r="F76" t="inlineStr">
        <is>
          <t>STOCKHOLMS LÄN</t>
        </is>
      </c>
      <c r="G76" t="inlineStr">
        <is>
          <t>SÖDERTÄLJE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17979-2024</t>
        </is>
      </c>
      <c r="B77" t="inlineStr">
        <is>
          <t>avverkningsanmälan</t>
        </is>
      </c>
      <c r="C77" t="inlineStr">
        <is>
          <t>Föryngringsavverkning</t>
        </is>
      </c>
      <c r="D77" s="1" t="n">
        <v>45419</v>
      </c>
      <c r="E77" s="1" t="n">
        <v>46299</v>
      </c>
      <c r="F77" t="inlineStr">
        <is>
          <t>STOCKHOLMS LÄN</t>
        </is>
      </c>
      <c r="G77" t="inlineStr">
        <is>
          <t>SÖDERTÄLJE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19210-2024</t>
        </is>
      </c>
      <c r="B78" t="inlineStr">
        <is>
          <t>avverkningsanmälan</t>
        </is>
      </c>
      <c r="C78" t="inlineStr">
        <is>
          <t>Avverkning för att bevara och utveckla /försöksver</t>
        </is>
      </c>
      <c r="D78" s="1" t="n">
        <v>45428</v>
      </c>
      <c r="E78" s="1" t="n">
        <v>46299</v>
      </c>
      <c r="F78" t="inlineStr">
        <is>
          <t>STOCKHOLMS LÄN</t>
        </is>
      </c>
      <c r="G78" t="inlineStr">
        <is>
          <t>SÖDERTÄLJE</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62047-2025</t>
        </is>
      </c>
      <c r="B79" t="inlineStr">
        <is>
          <t>avverkningsanmälan</t>
        </is>
      </c>
      <c r="C79" t="inlineStr">
        <is>
          <t>Föryngringsavverkning</t>
        </is>
      </c>
      <c r="D79" s="1" t="n">
        <v>46006</v>
      </c>
      <c r="E79" s="1" t="n">
        <v>46299</v>
      </c>
      <c r="F79" t="inlineStr">
        <is>
          <t>STOCKHOLMS LÄN</t>
        </is>
      </c>
      <c r="G79" t="inlineStr">
        <is>
          <t>SÖDERTÄLJE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62049-2025</t>
        </is>
      </c>
      <c r="B80" t="inlineStr">
        <is>
          <t>avverkningsanmälan</t>
        </is>
      </c>
      <c r="C80" t="inlineStr">
        <is>
          <t>Föryngringsavverkning</t>
        </is>
      </c>
      <c r="D80" s="1" t="n">
        <v>46006</v>
      </c>
      <c r="E80" s="1" t="n">
        <v>46299</v>
      </c>
      <c r="F80" t="inlineStr">
        <is>
          <t>STOCKHOLMS LÄN</t>
        </is>
      </c>
      <c r="G80" t="inlineStr">
        <is>
          <t>SÖDERTÄLJE</t>
        </is>
      </c>
      <c r="I80" t="n">
        <v>10.4</v>
      </c>
      <c r="J80" t="n">
        <v>0</v>
      </c>
      <c r="K80" t="n">
        <v>0</v>
      </c>
      <c r="L80" t="n">
        <v>0</v>
      </c>
      <c r="M80" t="n">
        <v>0</v>
      </c>
      <c r="N80" t="n">
        <v>0</v>
      </c>
      <c r="O80" t="n">
        <v>0</v>
      </c>
      <c r="P80" t="n">
        <v>0</v>
      </c>
      <c r="Q80" t="n">
        <v>0</v>
      </c>
      <c r="R80" t="n">
        <v>0</v>
      </c>
      <c r="S80" t="n">
        <v>0</v>
      </c>
      <c r="T80" t="n">
        <v>0</v>
      </c>
      <c r="U80" t="n">
        <v>0</v>
      </c>
      <c r="V80" s="2" t="inlineStr"/>
    </row>
    <row r="81" ht="15" customHeight="1">
      <c r="A81" t="inlineStr">
        <is>
          <t>A 234-2026</t>
        </is>
      </c>
      <c r="B81" t="inlineStr">
        <is>
          <t>avverkningsanmälan</t>
        </is>
      </c>
      <c r="C81" t="inlineStr">
        <is>
          <t>Föryngringsavverkning</t>
        </is>
      </c>
      <c r="D81" s="1" t="n">
        <v>46027</v>
      </c>
      <c r="E81" s="1" t="n">
        <v>46299</v>
      </c>
      <c r="F81" t="inlineStr">
        <is>
          <t>STOCKHOLMS LÄN</t>
        </is>
      </c>
      <c r="G81" t="inlineStr">
        <is>
          <t>SÖDERTÄLJE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243-2026</t>
        </is>
      </c>
      <c r="B82" t="inlineStr">
        <is>
          <t>avverkningsanmälan</t>
        </is>
      </c>
      <c r="C82" t="inlineStr">
        <is>
          <t>Föryngringsavverkning</t>
        </is>
      </c>
      <c r="D82" s="1" t="n">
        <v>46027</v>
      </c>
      <c r="E82" s="1" t="n">
        <v>46299</v>
      </c>
      <c r="F82" t="inlineStr">
        <is>
          <t>STOCKHOLMS LÄN</t>
        </is>
      </c>
      <c r="G82" t="inlineStr">
        <is>
          <t>SÖDERTÄLJE</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231-2026</t>
        </is>
      </c>
      <c r="B83" t="inlineStr">
        <is>
          <t>avverkningsanmälan</t>
        </is>
      </c>
      <c r="C83" t="inlineStr">
        <is>
          <t>Föryngringsavverkning</t>
        </is>
      </c>
      <c r="D83" s="1" t="n">
        <v>46027</v>
      </c>
      <c r="E83" s="1" t="n">
        <v>46299</v>
      </c>
      <c r="F83" t="inlineStr">
        <is>
          <t>STOCKHOLMS LÄN</t>
        </is>
      </c>
      <c r="G83" t="inlineStr">
        <is>
          <t>SÖDERTÄLJE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233-2026</t>
        </is>
      </c>
      <c r="B84" t="inlineStr">
        <is>
          <t>avverkningsanmälan</t>
        </is>
      </c>
      <c r="C84" t="inlineStr">
        <is>
          <t>Föryngringsavverkning</t>
        </is>
      </c>
      <c r="D84" s="1" t="n">
        <v>46027</v>
      </c>
      <c r="E84" s="1" t="n">
        <v>46299</v>
      </c>
      <c r="F84" t="inlineStr">
        <is>
          <t>STOCKHOLMS LÄN</t>
        </is>
      </c>
      <c r="G84" t="inlineStr">
        <is>
          <t>SÖDERTÄLJE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1696-2026</t>
        </is>
      </c>
      <c r="B85" t="inlineStr">
        <is>
          <t>avverkningsanmälan</t>
        </is>
      </c>
      <c r="C85" t="inlineStr">
        <is>
          <t>Föryngringsavverkning</t>
        </is>
      </c>
      <c r="D85" s="1" t="n">
        <v>46034</v>
      </c>
      <c r="E85" s="1" t="n">
        <v>46299</v>
      </c>
      <c r="F85" t="inlineStr">
        <is>
          <t>STOCKHOLMS LÄN</t>
        </is>
      </c>
      <c r="G85" t="inlineStr">
        <is>
          <t>SÖDERTÄLJE</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1715-2026</t>
        </is>
      </c>
      <c r="B86" t="inlineStr">
        <is>
          <t>avverkningsanmälan</t>
        </is>
      </c>
      <c r="C86" t="inlineStr">
        <is>
          <t>Föryngringsavverkning</t>
        </is>
      </c>
      <c r="D86" s="1" t="n">
        <v>46034</v>
      </c>
      <c r="E86" s="1" t="n">
        <v>46299</v>
      </c>
      <c r="F86" t="inlineStr">
        <is>
          <t>STOCKHOLMS LÄN</t>
        </is>
      </c>
      <c r="G86" t="inlineStr">
        <is>
          <t>SÖDERTÄLJE</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11319-2024</t>
        </is>
      </c>
      <c r="B87" t="inlineStr">
        <is>
          <t>avverkningsanmälan</t>
        </is>
      </c>
      <c r="C87" t="inlineStr">
        <is>
          <t>Föryngringsavverkning</t>
        </is>
      </c>
      <c r="D87" s="1" t="n">
        <v>45371</v>
      </c>
      <c r="E87" s="1" t="n">
        <v>46299</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2685-2026</t>
        </is>
      </c>
      <c r="B88" t="inlineStr">
        <is>
          <t>avverkningsanmälan</t>
        </is>
      </c>
      <c r="C88" t="inlineStr">
        <is>
          <t>Föryngringsavverkning</t>
        </is>
      </c>
      <c r="D88" s="1" t="n">
        <v>46037</v>
      </c>
      <c r="E88" s="1" t="n">
        <v>46299</v>
      </c>
      <c r="F88" t="inlineStr">
        <is>
          <t>STOCKHOLMS LÄN</t>
        </is>
      </c>
      <c r="G88" t="inlineStr">
        <is>
          <t>SÖDERTÄLJE</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56349-2023</t>
        </is>
      </c>
      <c r="B89" t="inlineStr">
        <is>
          <t>avverkningsanmälan</t>
        </is>
      </c>
      <c r="C89" t="inlineStr">
        <is>
          <t>Föryngringsavverkning</t>
        </is>
      </c>
      <c r="D89" s="1" t="n">
        <v>45243</v>
      </c>
      <c r="E89" s="1" t="n">
        <v>46299</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41111-2023</t>
        </is>
      </c>
      <c r="B90" t="inlineStr">
        <is>
          <t>avverkningsanmälan</t>
        </is>
      </c>
      <c r="C90" t="inlineStr">
        <is>
          <t>Föryngringsavverkning</t>
        </is>
      </c>
      <c r="D90" s="1" t="n">
        <v>45173</v>
      </c>
      <c r="E90" s="1" t="n">
        <v>46299</v>
      </c>
      <c r="F90" t="inlineStr">
        <is>
          <t>STOCKHOLMS LÄN</t>
        </is>
      </c>
      <c r="G90" t="inlineStr">
        <is>
          <t>SÖDERTÄLJE</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41115-2023</t>
        </is>
      </c>
      <c r="B91" t="inlineStr">
        <is>
          <t>avverkningsanmälan</t>
        </is>
      </c>
      <c r="C91" t="inlineStr">
        <is>
          <t>Föryngringsavverkning</t>
        </is>
      </c>
      <c r="D91" s="1" t="n">
        <v>45173</v>
      </c>
      <c r="E91" s="1" t="n">
        <v>46299</v>
      </c>
      <c r="F91" t="inlineStr">
        <is>
          <t>STOCKHOLMS LÄN</t>
        </is>
      </c>
      <c r="G91" t="inlineStr">
        <is>
          <t>SÖDERTÄLJE</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3382-2024</t>
        </is>
      </c>
      <c r="B92" t="inlineStr">
        <is>
          <t>avverkningsanmälan</t>
        </is>
      </c>
      <c r="C92" t="inlineStr">
        <is>
          <t>Avverkning för att bevara och utveckla /försöksver</t>
        </is>
      </c>
      <c r="D92" s="1" t="n">
        <v>45317</v>
      </c>
      <c r="E92" s="1" t="n">
        <v>46299</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51353-2024</t>
        </is>
      </c>
      <c r="B93" t="inlineStr">
        <is>
          <t>avverkningsanmälan</t>
        </is>
      </c>
      <c r="C93" t="inlineStr">
        <is>
          <t>Föryngringsavverkning</t>
        </is>
      </c>
      <c r="D93" s="1" t="n">
        <v>45604</v>
      </c>
      <c r="E93" s="1" t="n">
        <v>46299</v>
      </c>
      <c r="F93" t="inlineStr">
        <is>
          <t>STOCKHOLMS LÄN</t>
        </is>
      </c>
      <c r="G93" t="inlineStr">
        <is>
          <t>SÖDERTÄLJE</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27969-2022</t>
        </is>
      </c>
      <c r="B94" t="inlineStr">
        <is>
          <t>avverkningsanmälan</t>
        </is>
      </c>
      <c r="C94" t="inlineStr">
        <is>
          <t>Föryngringsavverkning</t>
        </is>
      </c>
      <c r="D94" s="1" t="n">
        <v>44744</v>
      </c>
      <c r="E94" s="1" t="n">
        <v>46299</v>
      </c>
      <c r="F94" t="inlineStr">
        <is>
          <t>STOCKHOLMS LÄN</t>
        </is>
      </c>
      <c r="G94" t="inlineStr">
        <is>
          <t>SÖDERTÄLJE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7023-2026</t>
        </is>
      </c>
      <c r="B95" t="inlineStr">
        <is>
          <t>avverkningsanmälan</t>
        </is>
      </c>
      <c r="C95" t="inlineStr">
        <is>
          <t>Föryngringsavverkning</t>
        </is>
      </c>
      <c r="D95" s="1" t="n">
        <v>46057</v>
      </c>
      <c r="E95" s="1" t="n">
        <v>46299</v>
      </c>
      <c r="F95" t="inlineStr">
        <is>
          <t>STOCKHOLMS LÄN</t>
        </is>
      </c>
      <c r="G95" t="inlineStr">
        <is>
          <t>SÖDERTÄLJE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48046-2025</t>
        </is>
      </c>
      <c r="B96" t="inlineStr">
        <is>
          <t>avverkningsanmälan</t>
        </is>
      </c>
      <c r="C96" t="inlineStr">
        <is>
          <t>Föryngringsavverkning</t>
        </is>
      </c>
      <c r="D96" s="1" t="n">
        <v>45932</v>
      </c>
      <c r="E96" s="1" t="n">
        <v>46299</v>
      </c>
      <c r="F96" t="inlineStr">
        <is>
          <t>STOCKHOLMS LÄN</t>
        </is>
      </c>
      <c r="G96" t="inlineStr">
        <is>
          <t>SÖDERTÄLJE</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3152-2026</t>
        </is>
      </c>
      <c r="B97" t="inlineStr">
        <is>
          <t>avverkningsanmälan</t>
        </is>
      </c>
      <c r="C97" t="inlineStr">
        <is>
          <t>Avverkning för annat ändamål</t>
        </is>
      </c>
      <c r="D97" s="1" t="n">
        <v>46041</v>
      </c>
      <c r="E97" s="1" t="n">
        <v>46299</v>
      </c>
      <c r="F97" t="inlineStr">
        <is>
          <t>STOCKHOLMS LÄN</t>
        </is>
      </c>
      <c r="G97" t="inlineStr">
        <is>
          <t>SÖDERTÄLJE</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9234-2026</t>
        </is>
      </c>
      <c r="B98" t="inlineStr">
        <is>
          <t>avverkningsanmälan</t>
        </is>
      </c>
      <c r="C98" t="inlineStr">
        <is>
          <t>Föryngringsavverkning</t>
        </is>
      </c>
      <c r="D98" s="1" t="n">
        <v>46070</v>
      </c>
      <c r="E98" s="1" t="n">
        <v>46299</v>
      </c>
      <c r="F98" t="inlineStr">
        <is>
          <t>STOCKHOLMS LÄN</t>
        </is>
      </c>
      <c r="G98" t="inlineStr">
        <is>
          <t>SÖDERTÄLJE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28981-2023</t>
        </is>
      </c>
      <c r="B99" t="inlineStr">
        <is>
          <t>avverkningsanmälan</t>
        </is>
      </c>
      <c r="C99" t="inlineStr">
        <is>
          <t>Föryngringsavverkning</t>
        </is>
      </c>
      <c r="D99" s="1" t="n">
        <v>45104</v>
      </c>
      <c r="E99" s="1" t="n">
        <v>46299</v>
      </c>
      <c r="F99" t="inlineStr">
        <is>
          <t>STOCKHOLMS LÄN</t>
        </is>
      </c>
      <c r="G99" t="inlineStr">
        <is>
          <t>SÖDERTÄLJE</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10327-2026</t>
        </is>
      </c>
      <c r="B100" t="inlineStr">
        <is>
          <t>avverkningsanmälan</t>
        </is>
      </c>
      <c r="C100" t="inlineStr">
        <is>
          <t>Föryngringsavverkning</t>
        </is>
      </c>
      <c r="D100" s="1" t="n">
        <v>46076</v>
      </c>
      <c r="E100" s="1" t="n">
        <v>46299</v>
      </c>
      <c r="F100" t="inlineStr">
        <is>
          <t>STOCKHOLMS LÄN</t>
        </is>
      </c>
      <c r="G100" t="inlineStr">
        <is>
          <t>SÖDERTÄLJE</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10414-2026</t>
        </is>
      </c>
      <c r="B101" t="inlineStr">
        <is>
          <t>avverkningsanmälan</t>
        </is>
      </c>
      <c r="C101" t="inlineStr">
        <is>
          <t>Föryngringsavverkning</t>
        </is>
      </c>
      <c r="D101" s="1" t="n">
        <v>46077</v>
      </c>
      <c r="E101" s="1" t="n">
        <v>46299</v>
      </c>
      <c r="F101" t="inlineStr">
        <is>
          <t>STOCKHOLMS LÄN</t>
        </is>
      </c>
      <c r="G101" t="inlineStr">
        <is>
          <t>SÖDERTÄLJE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10426-2026</t>
        </is>
      </c>
      <c r="B102" t="inlineStr">
        <is>
          <t>avverkningsanmälan</t>
        </is>
      </c>
      <c r="C102" t="inlineStr">
        <is>
          <t>Föryngringsavverkning</t>
        </is>
      </c>
      <c r="D102" s="1" t="n">
        <v>46077</v>
      </c>
      <c r="E102" s="1" t="n">
        <v>46299</v>
      </c>
      <c r="F102" t="inlineStr">
        <is>
          <t>STOCKHOLMS LÄN</t>
        </is>
      </c>
      <c r="G102" t="inlineStr">
        <is>
          <t>SÖDERTÄLJE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10425-2026</t>
        </is>
      </c>
      <c r="B103" t="inlineStr">
        <is>
          <t>avverkningsanmälan</t>
        </is>
      </c>
      <c r="C103" t="inlineStr">
        <is>
          <t>Föryngringsavverkning</t>
        </is>
      </c>
      <c r="D103" s="1" t="n">
        <v>46077</v>
      </c>
      <c r="E103" s="1" t="n">
        <v>46299</v>
      </c>
      <c r="F103" t="inlineStr">
        <is>
          <t>STOCKHOLMS LÄN</t>
        </is>
      </c>
      <c r="G103" t="inlineStr">
        <is>
          <t>SÖDERTÄLJE</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10450-2026</t>
        </is>
      </c>
      <c r="B104" t="inlineStr">
        <is>
          <t>avverkningsanmälan</t>
        </is>
      </c>
      <c r="C104" t="inlineStr">
        <is>
          <t>Föryngringsavverkning</t>
        </is>
      </c>
      <c r="D104" s="1" t="n">
        <v>46077</v>
      </c>
      <c r="E104" s="1" t="n">
        <v>46299</v>
      </c>
      <c r="F104" t="inlineStr">
        <is>
          <t>STOCKHOLMS LÄN</t>
        </is>
      </c>
      <c r="G104" t="inlineStr">
        <is>
          <t>SÖDERTÄLJE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10452-2026</t>
        </is>
      </c>
      <c r="B105" t="inlineStr">
        <is>
          <t>avverkningsanmälan</t>
        </is>
      </c>
      <c r="C105" t="inlineStr">
        <is>
          <t>Föryngringsavverkning</t>
        </is>
      </c>
      <c r="D105" s="1" t="n">
        <v>46077</v>
      </c>
      <c r="E105" s="1" t="n">
        <v>46299</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10404-2026</t>
        </is>
      </c>
      <c r="B106" t="inlineStr">
        <is>
          <t>avverkningsanmälan</t>
        </is>
      </c>
      <c r="C106" t="inlineStr">
        <is>
          <t>Föryngringsavverkning</t>
        </is>
      </c>
      <c r="D106" s="1" t="n">
        <v>46077</v>
      </c>
      <c r="E106" s="1" t="n">
        <v>46299</v>
      </c>
      <c r="F106" t="inlineStr">
        <is>
          <t>STOCKHOLMS LÄN</t>
        </is>
      </c>
      <c r="G106" t="inlineStr">
        <is>
          <t>SÖDERTÄLJE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12116-2026</t>
        </is>
      </c>
      <c r="B107" t="inlineStr">
        <is>
          <t>avverkningsanmälan</t>
        </is>
      </c>
      <c r="C107" t="inlineStr">
        <is>
          <t>Föryngringsavverkning</t>
        </is>
      </c>
      <c r="D107" s="1" t="n">
        <v>46086</v>
      </c>
      <c r="E107" s="1" t="n">
        <v>46299</v>
      </c>
      <c r="F107" t="inlineStr">
        <is>
          <t>STOCKHOLMS LÄN</t>
        </is>
      </c>
      <c r="G107" t="inlineStr">
        <is>
          <t>SÖDERTÄLJE</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12121-2026</t>
        </is>
      </c>
      <c r="B108" t="inlineStr">
        <is>
          <t>avverkningsanmälan</t>
        </is>
      </c>
      <c r="C108" t="inlineStr">
        <is>
          <t>Föryngringsavverkning</t>
        </is>
      </c>
      <c r="D108" s="1" t="n">
        <v>46086</v>
      </c>
      <c r="E108" s="1" t="n">
        <v>46299</v>
      </c>
      <c r="F108" t="inlineStr">
        <is>
          <t>STOCKHOLMS LÄN</t>
        </is>
      </c>
      <c r="G108" t="inlineStr">
        <is>
          <t>SÖDERTÄLJE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52101-2022</t>
        </is>
      </c>
      <c r="B109" t="inlineStr">
        <is>
          <t>avverkningsanmälan</t>
        </is>
      </c>
      <c r="C109" t="inlineStr">
        <is>
          <t>Avverkning för annat ändamål</t>
        </is>
      </c>
      <c r="D109" s="1" t="n">
        <v>44873</v>
      </c>
      <c r="E109" s="1" t="n">
        <v>46299</v>
      </c>
      <c r="F109" t="inlineStr">
        <is>
          <t>STOCKHOLMS LÄN</t>
        </is>
      </c>
      <c r="G109" t="inlineStr">
        <is>
          <t>SÖDERTÄLJE</t>
        </is>
      </c>
      <c r="H109" t="inlineStr">
        <is>
          <t>Kommuner</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42133-2023</t>
        </is>
      </c>
      <c r="B110" t="inlineStr">
        <is>
          <t>avverkningsanmälan</t>
        </is>
      </c>
      <c r="C110" t="inlineStr">
        <is>
          <t>Föryngringsavverkning</t>
        </is>
      </c>
      <c r="D110" s="1" t="n">
        <v>45177</v>
      </c>
      <c r="E110" s="1" t="n">
        <v>46299</v>
      </c>
      <c r="F110" t="inlineStr">
        <is>
          <t>STOCKHOLMS LÄN</t>
        </is>
      </c>
      <c r="G110" t="inlineStr">
        <is>
          <t>SÖDERTÄLJE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37844-2022</t>
        </is>
      </c>
      <c r="B111" t="inlineStr">
        <is>
          <t>avverkningsanmälan</t>
        </is>
      </c>
      <c r="C111" t="inlineStr">
        <is>
          <t>Avverkning för annat ändamål</t>
        </is>
      </c>
      <c r="D111" s="1" t="n">
        <v>44810</v>
      </c>
      <c r="E111" s="1" t="n">
        <v>46299</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36886-2023</t>
        </is>
      </c>
      <c r="B112" t="inlineStr">
        <is>
          <t>avverkningsanmälan</t>
        </is>
      </c>
      <c r="C112" t="inlineStr">
        <is>
          <t>Avverkning för annat ändamål</t>
        </is>
      </c>
      <c r="D112" s="1" t="n">
        <v>45154</v>
      </c>
      <c r="E112" s="1" t="n">
        <v>46299</v>
      </c>
      <c r="F112" t="inlineStr">
        <is>
          <t>STOCKHOLMS LÄN</t>
        </is>
      </c>
      <c r="G112" t="inlineStr">
        <is>
          <t>SÖDERTÄLJE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13943-2026</t>
        </is>
      </c>
      <c r="B113" t="inlineStr">
        <is>
          <t>avverkningsanmälan</t>
        </is>
      </c>
      <c r="C113" t="inlineStr">
        <is>
          <t>Föryngringsavverkning</t>
        </is>
      </c>
      <c r="D113" s="1" t="n">
        <v>46098</v>
      </c>
      <c r="E113" s="1" t="n">
        <v>46299</v>
      </c>
      <c r="F113" t="inlineStr">
        <is>
          <t>STOCKHOLMS LÄN</t>
        </is>
      </c>
      <c r="G113" t="inlineStr">
        <is>
          <t>SÖDERTÄLJE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4443-2023</t>
        </is>
      </c>
      <c r="B114" t="inlineStr">
        <is>
          <t>avverkningsanmälan</t>
        </is>
      </c>
      <c r="C114" t="inlineStr">
        <is>
          <t>Föryngringsavverkning</t>
        </is>
      </c>
      <c r="D114" s="1" t="n">
        <v>44956</v>
      </c>
      <c r="E114" s="1" t="n">
        <v>46299</v>
      </c>
      <c r="F114" t="inlineStr">
        <is>
          <t>STOCKHOLMS LÄN</t>
        </is>
      </c>
      <c r="G114" t="inlineStr">
        <is>
          <t>SÖDERTÄLJE</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15964-2026</t>
        </is>
      </c>
      <c r="B115" t="inlineStr">
        <is>
          <t>avverkningsanmälan</t>
        </is>
      </c>
      <c r="C115" t="inlineStr">
        <is>
          <t>Föryngringsavverkning</t>
        </is>
      </c>
      <c r="D115" s="1" t="n">
        <v>46108</v>
      </c>
      <c r="E115" s="1" t="n">
        <v>46299</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28982-2024</t>
        </is>
      </c>
      <c r="B116" t="inlineStr">
        <is>
          <t>avverkningsanmälan</t>
        </is>
      </c>
      <c r="C116" t="inlineStr">
        <is>
          <t>Avverkning för annat ändamål</t>
        </is>
      </c>
      <c r="D116" s="1" t="n">
        <v>45481</v>
      </c>
      <c r="E116" s="1" t="n">
        <v>46299</v>
      </c>
      <c r="F116" t="inlineStr">
        <is>
          <t>STOCKHOLMS LÄN</t>
        </is>
      </c>
      <c r="G116" t="inlineStr">
        <is>
          <t>SÖDERTÄLJE</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92-2024</t>
        </is>
      </c>
      <c r="B117" t="inlineStr">
        <is>
          <t>avverkningsanmälan</t>
        </is>
      </c>
      <c r="C117" t="inlineStr">
        <is>
          <t>Föryngringsavverkning</t>
        </is>
      </c>
      <c r="D117" s="1" t="n">
        <v>45293</v>
      </c>
      <c r="E117" s="1" t="n">
        <v>46299</v>
      </c>
      <c r="F117" t="inlineStr">
        <is>
          <t>STOCKHOLMS LÄN</t>
        </is>
      </c>
      <c r="G117" t="inlineStr">
        <is>
          <t>SÖDERTÄLJE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19071-2026</t>
        </is>
      </c>
      <c r="B118" t="inlineStr">
        <is>
          <t>avverkningsanmälan</t>
        </is>
      </c>
      <c r="C118" t="inlineStr">
        <is>
          <t>Föryngringsavverkning</t>
        </is>
      </c>
      <c r="D118" s="1" t="n">
        <v>46132</v>
      </c>
      <c r="E118" s="1" t="n">
        <v>46299</v>
      </c>
      <c r="F118" t="inlineStr">
        <is>
          <t>STOCKHOLMS LÄN</t>
        </is>
      </c>
      <c r="G118" t="inlineStr">
        <is>
          <t>SÖDERTÄLJE</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19078-2026</t>
        </is>
      </c>
      <c r="B119" t="inlineStr">
        <is>
          <t>avverkningsanmälan</t>
        </is>
      </c>
      <c r="C119" t="inlineStr">
        <is>
          <t>Föryngringsavverkning</t>
        </is>
      </c>
      <c r="D119" s="1" t="n">
        <v>46132</v>
      </c>
      <c r="E119" s="1" t="n">
        <v>46299</v>
      </c>
      <c r="F119" t="inlineStr">
        <is>
          <t>STOCKHOLMS LÄN</t>
        </is>
      </c>
      <c r="G119" t="inlineStr">
        <is>
          <t>SÖDERTÄLJE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12907-2024</t>
        </is>
      </c>
      <c r="B120" t="inlineStr">
        <is>
          <t>avverkningsanmälan</t>
        </is>
      </c>
      <c r="C120" t="inlineStr">
        <is>
          <t>Föryngringsavverkning</t>
        </is>
      </c>
      <c r="D120" s="1" t="n">
        <v>45385</v>
      </c>
      <c r="E120" s="1" t="n">
        <v>46299</v>
      </c>
      <c r="F120" t="inlineStr">
        <is>
          <t>STOCKHOLMS LÄN</t>
        </is>
      </c>
      <c r="G120" t="inlineStr">
        <is>
          <t>SÖDERTÄLJE</t>
        </is>
      </c>
      <c r="I120" t="n">
        <v>11.9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26909-2024</t>
        </is>
      </c>
      <c r="B121" t="inlineStr">
        <is>
          <t>avverkningsanmälan</t>
        </is>
      </c>
      <c r="C121" t="inlineStr">
        <is>
          <t>Föryngringsavverkning</t>
        </is>
      </c>
      <c r="D121" s="1" t="n">
        <v>45470</v>
      </c>
      <c r="E121" s="1" t="n">
        <v>46299</v>
      </c>
      <c r="F121" t="inlineStr">
        <is>
          <t>STOCKHOLMS LÄN</t>
        </is>
      </c>
      <c r="G121" t="inlineStr">
        <is>
          <t>SÖDERTÄLJE</t>
        </is>
      </c>
      <c r="H121" t="inlineStr">
        <is>
          <t>Kommuner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28502-2023</t>
        </is>
      </c>
      <c r="B122" t="inlineStr">
        <is>
          <t>avverkningsanmälan</t>
        </is>
      </c>
      <c r="C122" t="inlineStr">
        <is>
          <t>Föryngringsavverkning</t>
        </is>
      </c>
      <c r="D122" s="1" t="n">
        <v>45103</v>
      </c>
      <c r="E122" s="1" t="n">
        <v>46299</v>
      </c>
      <c r="F122" t="inlineStr">
        <is>
          <t>STOCKHOLMS LÄN</t>
        </is>
      </c>
      <c r="G122" t="inlineStr">
        <is>
          <t>SÖDERTÄLJE</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8611-2023</t>
        </is>
      </c>
      <c r="B123" t="inlineStr">
        <is>
          <t>avverkningsanmälan</t>
        </is>
      </c>
      <c r="C123" t="inlineStr">
        <is>
          <t>Avverkning för annat ändamål</t>
        </is>
      </c>
      <c r="D123" s="1" t="n">
        <v>44977</v>
      </c>
      <c r="E123" s="1" t="n">
        <v>46299</v>
      </c>
      <c r="F123" t="inlineStr">
        <is>
          <t>STOCKHOLMS LÄN</t>
        </is>
      </c>
      <c r="G123" t="inlineStr">
        <is>
          <t>SÖDERTÄLJE</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3108-2024</t>
        </is>
      </c>
      <c r="B124" t="inlineStr">
        <is>
          <t>avverkningsanmälan</t>
        </is>
      </c>
      <c r="C124" t="inlineStr">
        <is>
          <t>Avverkning för att bevara och utveckla /försöksver</t>
        </is>
      </c>
      <c r="D124" s="1" t="n">
        <v>45316</v>
      </c>
      <c r="E124" s="1" t="n">
        <v>46299</v>
      </c>
      <c r="F124" t="inlineStr">
        <is>
          <t>STOCKHOLMS LÄN</t>
        </is>
      </c>
      <c r="G124" t="inlineStr">
        <is>
          <t>SÖDERTÄLJE</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18592-2023</t>
        </is>
      </c>
      <c r="B125" t="inlineStr">
        <is>
          <t>avverkningsanmälan</t>
        </is>
      </c>
      <c r="C125" t="inlineStr">
        <is>
          <t>Föryngringsavverkning</t>
        </is>
      </c>
      <c r="D125" s="1" t="n">
        <v>45043</v>
      </c>
      <c r="E125" s="1" t="n">
        <v>46299</v>
      </c>
      <c r="F125" t="inlineStr">
        <is>
          <t>STOCKHOLMS LÄN</t>
        </is>
      </c>
      <c r="G125" t="inlineStr">
        <is>
          <t>SÖDERTÄLJE</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1381-2023</t>
        </is>
      </c>
      <c r="B126" t="inlineStr">
        <is>
          <t>avverkningsanmälan</t>
        </is>
      </c>
      <c r="C126" t="inlineStr">
        <is>
          <t>Föryngringsavverkning</t>
        </is>
      </c>
      <c r="D126" s="1" t="n">
        <v>44936</v>
      </c>
      <c r="E126" s="1" t="n">
        <v>46299</v>
      </c>
      <c r="F126" t="inlineStr">
        <is>
          <t>STOCKHOLMS LÄN</t>
        </is>
      </c>
      <c r="G126" t="inlineStr">
        <is>
          <t>SÖDERTÄLJE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56354-2023</t>
        </is>
      </c>
      <c r="B127" t="inlineStr">
        <is>
          <t>avverkningsanmälan</t>
        </is>
      </c>
      <c r="C127" t="inlineStr">
        <is>
          <t>Föryngringsavverkning</t>
        </is>
      </c>
      <c r="D127" s="1" t="n">
        <v>45243</v>
      </c>
      <c r="E127" s="1" t="n">
        <v>46299</v>
      </c>
      <c r="F127" t="inlineStr">
        <is>
          <t>STOCKHOLMS LÄN</t>
        </is>
      </c>
      <c r="G127" t="inlineStr">
        <is>
          <t>SÖDERTÄLJE</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31375-2024</t>
        </is>
      </c>
      <c r="B128" t="inlineStr">
        <is>
          <t>avverkningsanmälan</t>
        </is>
      </c>
      <c r="C128" t="inlineStr">
        <is>
          <t>Avverkning för annat ändamål</t>
        </is>
      </c>
      <c r="D128" s="1" t="n">
        <v>45505</v>
      </c>
      <c r="E128" s="1" t="n">
        <v>46299</v>
      </c>
      <c r="F128" t="inlineStr">
        <is>
          <t>STOCKHOLMS LÄN</t>
        </is>
      </c>
      <c r="G128" t="inlineStr">
        <is>
          <t>SÖDERTÄLJE</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25412-2025</t>
        </is>
      </c>
      <c r="B129" t="inlineStr">
        <is>
          <t>avverkningsanmälan</t>
        </is>
      </c>
      <c r="C129" t="inlineStr">
        <is>
          <t>Föryngringsavverkning</t>
        </is>
      </c>
      <c r="D129" s="1" t="n">
        <v>45799</v>
      </c>
      <c r="E129" s="1" t="n">
        <v>46299</v>
      </c>
      <c r="F129" t="inlineStr">
        <is>
          <t>STOCKHOLMS LÄN</t>
        </is>
      </c>
      <c r="G129" t="inlineStr">
        <is>
          <t>SÖDERTÄLJE</t>
        </is>
      </c>
      <c r="I129" t="n">
        <v>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25415-2025</t>
        </is>
      </c>
      <c r="B130" t="inlineStr">
        <is>
          <t>avverkningsanmälan</t>
        </is>
      </c>
      <c r="C130" t="inlineStr">
        <is>
          <t>Föryngringsavverkning</t>
        </is>
      </c>
      <c r="D130" s="1" t="n">
        <v>45799</v>
      </c>
      <c r="E130" s="1" t="n">
        <v>46299</v>
      </c>
      <c r="F130" t="inlineStr">
        <is>
          <t>STOCKHOLMS LÄN</t>
        </is>
      </c>
      <c r="G130" t="inlineStr">
        <is>
          <t>SÖDERTÄLJE</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20603-2026</t>
        </is>
      </c>
      <c r="B131" t="inlineStr">
        <is>
          <t>avverkningsanmälan</t>
        </is>
      </c>
      <c r="C131" t="inlineStr">
        <is>
          <t>Föryngringsavverkning</t>
        </is>
      </c>
      <c r="D131" s="1" t="n">
        <v>46140</v>
      </c>
      <c r="E131" s="1" t="n">
        <v>46299</v>
      </c>
      <c r="F131" t="inlineStr">
        <is>
          <t>STOCKHOLMS LÄN</t>
        </is>
      </c>
      <c r="G131" t="inlineStr">
        <is>
          <t>SÖDERTÄLJE</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954-2023</t>
        </is>
      </c>
      <c r="B132" t="inlineStr">
        <is>
          <t>avverkningsanmälan</t>
        </is>
      </c>
      <c r="C132" t="inlineStr">
        <is>
          <t>Föryngringsavverkning</t>
        </is>
      </c>
      <c r="D132" s="1" t="n">
        <v>44934</v>
      </c>
      <c r="E132" s="1" t="n">
        <v>46299</v>
      </c>
      <c r="F132" t="inlineStr">
        <is>
          <t>STOCKHOLMS LÄN</t>
        </is>
      </c>
      <c r="G132" t="inlineStr">
        <is>
          <t>SÖDERTÄLJE</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35200-2023</t>
        </is>
      </c>
      <c r="B133" t="inlineStr">
        <is>
          <t>avverkningsanmälan</t>
        </is>
      </c>
      <c r="C133" t="inlineStr">
        <is>
          <t>Föryngringsavverkning</t>
        </is>
      </c>
      <c r="D133" s="1" t="n">
        <v>45145</v>
      </c>
      <c r="E133" s="1" t="n">
        <v>46299</v>
      </c>
      <c r="F133" t="inlineStr">
        <is>
          <t>STOCKHOLMS LÄN</t>
        </is>
      </c>
      <c r="G133" t="inlineStr">
        <is>
          <t>SÖDERTÄLJE</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20582-2026</t>
        </is>
      </c>
      <c r="B134" t="inlineStr">
        <is>
          <t>avverkningsanmälan</t>
        </is>
      </c>
      <c r="C134" t="inlineStr">
        <is>
          <t>Föryngringsavverkning</t>
        </is>
      </c>
      <c r="D134" s="1" t="n">
        <v>46140</v>
      </c>
      <c r="E134" s="1" t="n">
        <v>46299</v>
      </c>
      <c r="F134" t="inlineStr">
        <is>
          <t>STOCKHOLMS LÄN</t>
        </is>
      </c>
      <c r="G134" t="inlineStr">
        <is>
          <t>SÖDERTÄLJE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20596-2026</t>
        </is>
      </c>
      <c r="B135" t="inlineStr">
        <is>
          <t>avverkningsanmälan</t>
        </is>
      </c>
      <c r="C135" t="inlineStr">
        <is>
          <t>Föryngringsavverkning</t>
        </is>
      </c>
      <c r="D135" s="1" t="n">
        <v>46140</v>
      </c>
      <c r="E135" s="1" t="n">
        <v>46299</v>
      </c>
      <c r="F135" t="inlineStr">
        <is>
          <t>STOCKHOLMS LÄN</t>
        </is>
      </c>
      <c r="G135" t="inlineStr">
        <is>
          <t>SÖDERTÄLJE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20579-2026</t>
        </is>
      </c>
      <c r="B136" t="inlineStr">
        <is>
          <t>avverkningsanmälan</t>
        </is>
      </c>
      <c r="C136" t="inlineStr">
        <is>
          <t>Föryngringsavverkning</t>
        </is>
      </c>
      <c r="D136" s="1" t="n">
        <v>46140</v>
      </c>
      <c r="E136" s="1" t="n">
        <v>46299</v>
      </c>
      <c r="F136" t="inlineStr">
        <is>
          <t>STOCKHOLMS LÄN</t>
        </is>
      </c>
      <c r="G136" t="inlineStr">
        <is>
          <t>SÖDERTÄLJE</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20591-2026</t>
        </is>
      </c>
      <c r="B137" t="inlineStr">
        <is>
          <t>avverkningsanmälan</t>
        </is>
      </c>
      <c r="C137" t="inlineStr">
        <is>
          <t>Föryngringsavverkning</t>
        </is>
      </c>
      <c r="D137" s="1" t="n">
        <v>46140</v>
      </c>
      <c r="E137" s="1" t="n">
        <v>46299</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58140-2023</t>
        </is>
      </c>
      <c r="B138" t="inlineStr">
        <is>
          <t>avverkningsanmälan</t>
        </is>
      </c>
      <c r="C138" t="inlineStr">
        <is>
          <t>Avverkning för annat ändamål</t>
        </is>
      </c>
      <c r="D138" s="1" t="n">
        <v>45250</v>
      </c>
      <c r="E138" s="1" t="n">
        <v>46299</v>
      </c>
      <c r="F138" t="inlineStr">
        <is>
          <t>STOCKHOLMS LÄN</t>
        </is>
      </c>
      <c r="G138" t="inlineStr">
        <is>
          <t>SÖDERTÄLJE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21483-2026</t>
        </is>
      </c>
      <c r="B139" t="inlineStr">
        <is>
          <t>avverkningsanmälan</t>
        </is>
      </c>
      <c r="C139" t="inlineStr">
        <is>
          <t>Avverkning för annat ändamål</t>
        </is>
      </c>
      <c r="D139" s="1" t="n">
        <v>46148</v>
      </c>
      <c r="E139" s="1" t="n">
        <v>46299</v>
      </c>
      <c r="F139" t="inlineStr">
        <is>
          <t>STOCKHOLMS LÄN</t>
        </is>
      </c>
      <c r="G139" t="inlineStr">
        <is>
          <t>SÖDERTÄLJE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314-2022</t>
        </is>
      </c>
      <c r="B140" t="inlineStr">
        <is>
          <t>avverkningsanmälan</t>
        </is>
      </c>
      <c r="C140" t="inlineStr">
        <is>
          <t>Föryngringsavverkning</t>
        </is>
      </c>
      <c r="D140" s="1" t="n">
        <v>44564</v>
      </c>
      <c r="E140" s="1" t="n">
        <v>46299</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487-2024</t>
        </is>
      </c>
      <c r="B141" t="inlineStr">
        <is>
          <t>avverkningsanmälan</t>
        </is>
      </c>
      <c r="C141" t="inlineStr">
        <is>
          <t>Föryngringsavverkning</t>
        </is>
      </c>
      <c r="D141" s="1" t="n">
        <v>45298</v>
      </c>
      <c r="E141" s="1" t="n">
        <v>46299</v>
      </c>
      <c r="F141" t="inlineStr">
        <is>
          <t>STOCKHOLMS LÄN</t>
        </is>
      </c>
      <c r="G141" t="inlineStr">
        <is>
          <t>SÖDERTÄLJE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47576-2023</t>
        </is>
      </c>
      <c r="B142" t="inlineStr">
        <is>
          <t>avverkningsanmälan</t>
        </is>
      </c>
      <c r="C142" t="inlineStr">
        <is>
          <t>Föryngringsavverkning</t>
        </is>
      </c>
      <c r="D142" s="1" t="n">
        <v>45197</v>
      </c>
      <c r="E142" s="1" t="n">
        <v>46299</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10446-2026</t>
        </is>
      </c>
      <c r="B143" t="inlineStr">
        <is>
          <t>avverkningsanmälan</t>
        </is>
      </c>
      <c r="C143" t="inlineStr">
        <is>
          <t>Föryngringsavverkning</t>
        </is>
      </c>
      <c r="D143" s="1" t="n">
        <v>46077</v>
      </c>
      <c r="E143" s="1" t="n">
        <v>46299</v>
      </c>
      <c r="F143" t="inlineStr">
        <is>
          <t>STOCKHOLMS LÄN</t>
        </is>
      </c>
      <c r="G143" t="inlineStr">
        <is>
          <t>SÖDERTÄLJE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35906-2022</t>
        </is>
      </c>
      <c r="B144" t="inlineStr">
        <is>
          <t>avverkningsanmälan</t>
        </is>
      </c>
      <c r="C144" t="inlineStr">
        <is>
          <t>Avverkning för annat ändamål</t>
        </is>
      </c>
      <c r="D144" s="1" t="n">
        <v>44802</v>
      </c>
      <c r="E144" s="1" t="n">
        <v>46299</v>
      </c>
      <c r="F144" t="inlineStr">
        <is>
          <t>STOCKHOLMS LÄN</t>
        </is>
      </c>
      <c r="G144" t="inlineStr">
        <is>
          <t>SÖDERTÄLJE</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52815-2023</t>
        </is>
      </c>
      <c r="B145" t="inlineStr">
        <is>
          <t>avverkningsanmälan</t>
        </is>
      </c>
      <c r="C145" t="inlineStr">
        <is>
          <t>Föryngringsavverkning</t>
        </is>
      </c>
      <c r="D145" s="1" t="n">
        <v>45226</v>
      </c>
      <c r="E145" s="1" t="n">
        <v>46299</v>
      </c>
      <c r="F145" t="inlineStr">
        <is>
          <t>STOCKHOLMS LÄN</t>
        </is>
      </c>
      <c r="G145" t="inlineStr">
        <is>
          <t>SÖDERTÄLJE</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1150-2026</t>
        </is>
      </c>
      <c r="B146" t="inlineStr">
        <is>
          <t>avverkningsanmälan</t>
        </is>
      </c>
      <c r="C146" t="inlineStr">
        <is>
          <t>Föryngringsavverkning</t>
        </is>
      </c>
      <c r="D146" s="1" t="n">
        <v>46030</v>
      </c>
      <c r="E146" s="1" t="n">
        <v>46299</v>
      </c>
      <c r="F146" t="inlineStr">
        <is>
          <t>STOCKHOLMS LÄN</t>
        </is>
      </c>
      <c r="G146" t="inlineStr">
        <is>
          <t>SÖDERTÄLJE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25288-2026</t>
        </is>
      </c>
      <c r="B147" t="inlineStr">
        <is>
          <t>avverkningsanmälan</t>
        </is>
      </c>
      <c r="C147" t="inlineStr">
        <is>
          <t>Föryngringsavverkning</t>
        </is>
      </c>
      <c r="D147" s="1" t="n">
        <v>46176</v>
      </c>
      <c r="E147" s="1" t="n">
        <v>46299</v>
      </c>
      <c r="F147" t="inlineStr">
        <is>
          <t>STOCKHOLMS LÄN</t>
        </is>
      </c>
      <c r="G147" t="inlineStr">
        <is>
          <t>SÖDERTÄLJE</t>
        </is>
      </c>
      <c r="H147" t="inlineStr">
        <is>
          <t>Kommuner</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60635-2024</t>
        </is>
      </c>
      <c r="B148" t="inlineStr">
        <is>
          <t>avverkningsanmälan</t>
        </is>
      </c>
      <c r="C148" t="inlineStr">
        <is>
          <t>Föryngringsavverkning</t>
        </is>
      </c>
      <c r="D148" s="1" t="n">
        <v>45644</v>
      </c>
      <c r="E148" s="1" t="n">
        <v>46299</v>
      </c>
      <c r="F148" t="inlineStr">
        <is>
          <t>STOCKHOLMS LÄN</t>
        </is>
      </c>
      <c r="G148" t="inlineStr">
        <is>
          <t>SÖDERTÄLJE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27006-2026</t>
        </is>
      </c>
      <c r="B149" t="inlineStr">
        <is>
          <t>avverkningsanmälan</t>
        </is>
      </c>
      <c r="C149" t="inlineStr">
        <is>
          <t>Avverkning för annat ändamål</t>
        </is>
      </c>
      <c r="D149" s="1" t="n">
        <v>46185</v>
      </c>
      <c r="E149" s="1" t="n">
        <v>46299</v>
      </c>
      <c r="F149" t="inlineStr">
        <is>
          <t>STOCKHOLMS LÄN</t>
        </is>
      </c>
      <c r="G149" t="inlineStr">
        <is>
          <t>SÖDERTÄLJE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27257-2026</t>
        </is>
      </c>
      <c r="B150" t="inlineStr">
        <is>
          <t>avverkningsanmälan</t>
        </is>
      </c>
      <c r="C150" t="inlineStr">
        <is>
          <t>Föryngringsavverkning</t>
        </is>
      </c>
      <c r="D150" s="1" t="n">
        <v>46188</v>
      </c>
      <c r="E150" s="1" t="n">
        <v>46299</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62311-2023</t>
        </is>
      </c>
      <c r="B151" t="inlineStr">
        <is>
          <t>avverkningsanmälan</t>
        </is>
      </c>
      <c r="C151" t="inlineStr">
        <is>
          <t>Föryngringsavverkning</t>
        </is>
      </c>
      <c r="D151" s="1" t="n">
        <v>45266</v>
      </c>
      <c r="E151" s="1" t="n">
        <v>46299</v>
      </c>
      <c r="F151" t="inlineStr">
        <is>
          <t>STOCKHOLMS LÄN</t>
        </is>
      </c>
      <c r="G151" t="inlineStr">
        <is>
          <t>SÖDERTÄLJE</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25706-2023</t>
        </is>
      </c>
      <c r="B152" t="inlineStr">
        <is>
          <t>avverkningsanmälan</t>
        </is>
      </c>
      <c r="C152" t="inlineStr">
        <is>
          <t>Föryngringsavverkning</t>
        </is>
      </c>
      <c r="D152" s="1" t="n">
        <v>45090</v>
      </c>
      <c r="E152" s="1" t="n">
        <v>46299</v>
      </c>
      <c r="F152" t="inlineStr">
        <is>
          <t>STOCKHOLMS LÄN</t>
        </is>
      </c>
      <c r="G152" t="inlineStr">
        <is>
          <t>SÖDERTÄLJE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28175-2026</t>
        </is>
      </c>
      <c r="B153" t="inlineStr">
        <is>
          <t>avverkningsanmälan</t>
        </is>
      </c>
      <c r="C153" t="inlineStr">
        <is>
          <t>Avverkning för annat ändamål</t>
        </is>
      </c>
      <c r="D153" s="1" t="n">
        <v>46195</v>
      </c>
      <c r="E153" s="1" t="n">
        <v>46299</v>
      </c>
      <c r="F153" t="inlineStr">
        <is>
          <t>STOCKHOLMS LÄN</t>
        </is>
      </c>
      <c r="G153" t="inlineStr">
        <is>
          <t>SÖDERTÄLJE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22-2024</t>
        </is>
      </c>
      <c r="B154" t="inlineStr">
        <is>
          <t>avverkningsanmälan</t>
        </is>
      </c>
      <c r="C154" t="inlineStr">
        <is>
          <t>Föryngringsavverkning</t>
        </is>
      </c>
      <c r="D154" s="1" t="n">
        <v>45293</v>
      </c>
      <c r="E154" s="1" t="n">
        <v>46299</v>
      </c>
      <c r="F154" t="inlineStr">
        <is>
          <t>STOCKHOLMS LÄN</t>
        </is>
      </c>
      <c r="G154" t="inlineStr">
        <is>
          <t>SÖDERTÄLJE</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95-2024</t>
        </is>
      </c>
      <c r="B155" t="inlineStr">
        <is>
          <t>avverkningsanmälan</t>
        </is>
      </c>
      <c r="C155" t="inlineStr">
        <is>
          <t>Föryngringsavverkning</t>
        </is>
      </c>
      <c r="D155" s="1" t="n">
        <v>45293</v>
      </c>
      <c r="E155" s="1" t="n">
        <v>46299</v>
      </c>
      <c r="F155" t="inlineStr">
        <is>
          <t>STOCKHOLMS LÄN</t>
        </is>
      </c>
      <c r="G155" t="inlineStr">
        <is>
          <t>SÖDERTÄLJE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49956-2022</t>
        </is>
      </c>
      <c r="B156" t="inlineStr">
        <is>
          <t>avverkningsanmälan</t>
        </is>
      </c>
      <c r="C156" t="inlineStr">
        <is>
          <t>Föryngringsavverkning</t>
        </is>
      </c>
      <c r="D156" s="1" t="n">
        <v>44865</v>
      </c>
      <c r="E156" s="1" t="n">
        <v>46299</v>
      </c>
      <c r="F156" t="inlineStr">
        <is>
          <t>STOCKHOLMS LÄN</t>
        </is>
      </c>
      <c r="G156" t="inlineStr">
        <is>
          <t>SÖDERTÄLJE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11343-2025</t>
        </is>
      </c>
      <c r="B157" t="inlineStr">
        <is>
          <t>avverkningsanmälan</t>
        </is>
      </c>
      <c r="C157" t="inlineStr">
        <is>
          <t>Föryngringsavverkning</t>
        </is>
      </c>
      <c r="D157" s="1" t="n">
        <v>45726</v>
      </c>
      <c r="E157" s="1" t="n">
        <v>46299</v>
      </c>
      <c r="F157" t="inlineStr">
        <is>
          <t>STOCKHOLMS LÄN</t>
        </is>
      </c>
      <c r="G157" t="inlineStr">
        <is>
          <t>SÖDERTÄLJE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54596-2024</t>
        </is>
      </c>
      <c r="B158" t="inlineStr">
        <is>
          <t>avverkningsanmälan</t>
        </is>
      </c>
      <c r="C158" t="inlineStr">
        <is>
          <t>Föryngringsavverkning</t>
        </is>
      </c>
      <c r="D158" s="1" t="n">
        <v>45617</v>
      </c>
      <c r="E158" s="1" t="n">
        <v>46299</v>
      </c>
      <c r="F158" t="inlineStr">
        <is>
          <t>STOCKHOLMS LÄN</t>
        </is>
      </c>
      <c r="G158" t="inlineStr">
        <is>
          <t>SÖDERTÄLJE</t>
        </is>
      </c>
      <c r="I158" t="n">
        <v>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45145-2022</t>
        </is>
      </c>
      <c r="B159" t="inlineStr">
        <is>
          <t>avverkningsanmälan</t>
        </is>
      </c>
      <c r="C159" t="inlineStr">
        <is>
          <t>Föryngringsavverkning</t>
        </is>
      </c>
      <c r="D159" s="1" t="n">
        <v>44844</v>
      </c>
      <c r="E159" s="1" t="n">
        <v>46299</v>
      </c>
      <c r="F159" t="inlineStr">
        <is>
          <t>STOCKHOLMS LÄN</t>
        </is>
      </c>
      <c r="G159" t="inlineStr">
        <is>
          <t>SÖDERTÄLJE</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42339-2024</t>
        </is>
      </c>
      <c r="B160" t="inlineStr">
        <is>
          <t>avverkningsanmälan</t>
        </is>
      </c>
      <c r="C160" t="inlineStr">
        <is>
          <t>Avverkning för annat ändamål</t>
        </is>
      </c>
      <c r="D160" s="1" t="n">
        <v>45562</v>
      </c>
      <c r="E160" s="1" t="n">
        <v>46299</v>
      </c>
      <c r="F160" t="inlineStr">
        <is>
          <t>STOCKHOLMS LÄN</t>
        </is>
      </c>
      <c r="G160" t="inlineStr">
        <is>
          <t>SÖDERTÄLJE</t>
        </is>
      </c>
      <c r="H160" t="inlineStr">
        <is>
          <t>Övriga statliga verk och myndigheter</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46299</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46299</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46299</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36938-2026</t>
        </is>
      </c>
      <c r="B164" t="inlineStr">
        <is>
          <t>avverkningsanmälan</t>
        </is>
      </c>
      <c r="C164" t="inlineStr">
        <is>
          <t>Föryngringsavverkning</t>
        </is>
      </c>
      <c r="D164" s="1" t="n">
        <v>46273</v>
      </c>
      <c r="E164" s="1" t="n">
        <v>46299</v>
      </c>
      <c r="F164" t="inlineStr">
        <is>
          <t>STOCKHOLMS LÄN</t>
        </is>
      </c>
      <c r="G164" t="inlineStr">
        <is>
          <t>SÖDERTÄLJE</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57884-2021</t>
        </is>
      </c>
      <c r="B165" t="inlineStr">
        <is>
          <t>avverkningsanmälan</t>
        </is>
      </c>
      <c r="C165" t="inlineStr">
        <is>
          <t>Föryngringsavverkning</t>
        </is>
      </c>
      <c r="D165" s="1" t="n">
        <v>44485</v>
      </c>
      <c r="E165" s="1" t="n">
        <v>46299</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32518-2026</t>
        </is>
      </c>
      <c r="B166" t="inlineStr">
        <is>
          <t>avverkningsanmälan</t>
        </is>
      </c>
      <c r="C166" t="inlineStr">
        <is>
          <t>Föryngringsavverkning</t>
        </is>
      </c>
      <c r="D166" s="1" t="n">
        <v>46239</v>
      </c>
      <c r="E166" s="1" t="n">
        <v>46299</v>
      </c>
      <c r="F166" t="inlineStr">
        <is>
          <t>STOCKHOLMS LÄN</t>
        </is>
      </c>
      <c r="G166" t="inlineStr">
        <is>
          <t>SÖDERTÄLJE</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6886-2022</t>
        </is>
      </c>
      <c r="B167" t="inlineStr">
        <is>
          <t>avverkningsanmälan</t>
        </is>
      </c>
      <c r="C167" t="inlineStr">
        <is>
          <t>Föryngringsavverkning</t>
        </is>
      </c>
      <c r="D167" s="1" t="n">
        <v>44602</v>
      </c>
      <c r="E167" s="1" t="n">
        <v>46299</v>
      </c>
      <c r="F167" t="inlineStr">
        <is>
          <t>STOCKHOLMS LÄN</t>
        </is>
      </c>
      <c r="G167" t="inlineStr">
        <is>
          <t>SÖDERTÄLJE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1016-2022</t>
        </is>
      </c>
      <c r="B168" t="inlineStr">
        <is>
          <t>avverkningsanmälan</t>
        </is>
      </c>
      <c r="C168" t="inlineStr">
        <is>
          <t>Avverkning för annat ändamål</t>
        </is>
      </c>
      <c r="D168" s="1" t="n">
        <v>44571</v>
      </c>
      <c r="E168" s="1" t="n">
        <v>46299</v>
      </c>
      <c r="F168" t="inlineStr">
        <is>
          <t>STOCKHOLMS LÄN</t>
        </is>
      </c>
      <c r="G168" t="inlineStr">
        <is>
          <t>SÖDERTÄLJE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35942-2022</t>
        </is>
      </c>
      <c r="B169" t="inlineStr">
        <is>
          <t>avverkningsanmälan</t>
        </is>
      </c>
      <c r="C169" t="inlineStr">
        <is>
          <t>Avverkning för annat ändamål</t>
        </is>
      </c>
      <c r="D169" s="1" t="n">
        <v>44802</v>
      </c>
      <c r="E169" s="1" t="n">
        <v>46299</v>
      </c>
      <c r="F169" t="inlineStr">
        <is>
          <t>STOCKHOLMS LÄN</t>
        </is>
      </c>
      <c r="G169" t="inlineStr">
        <is>
          <t>SÖDERTÄLJE</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3383-2024</t>
        </is>
      </c>
      <c r="B170" t="inlineStr">
        <is>
          <t>avverkningsanmälan</t>
        </is>
      </c>
      <c r="C170" t="inlineStr">
        <is>
          <t>Avverkning för att bevara och utveckla /försöksver</t>
        </is>
      </c>
      <c r="D170" s="1" t="n">
        <v>45317</v>
      </c>
      <c r="E170" s="1" t="n">
        <v>46299</v>
      </c>
      <c r="F170" t="inlineStr">
        <is>
          <t>STOCKHOLMS LÄN</t>
        </is>
      </c>
      <c r="G170" t="inlineStr">
        <is>
          <t>SÖDERTÄLJE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24034-2022</t>
        </is>
      </c>
      <c r="B171" t="inlineStr">
        <is>
          <t>avverkningsanmälan</t>
        </is>
      </c>
      <c r="C171" t="inlineStr">
        <is>
          <t>Föryngringsavverkning</t>
        </is>
      </c>
      <c r="D171" s="1" t="n">
        <v>44724</v>
      </c>
      <c r="E171" s="1" t="n">
        <v>46299</v>
      </c>
      <c r="F171" t="inlineStr">
        <is>
          <t>STOCKHOLMS LÄN</t>
        </is>
      </c>
      <c r="G171" t="inlineStr">
        <is>
          <t>SÖDERTÄLJE</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72218-2021</t>
        </is>
      </c>
      <c r="B172" t="inlineStr">
        <is>
          <t>avverkningsanmälan</t>
        </is>
      </c>
      <c r="C172" t="inlineStr">
        <is>
          <t>Föryngringsavverkning</t>
        </is>
      </c>
      <c r="D172" s="1" t="n">
        <v>44544</v>
      </c>
      <c r="E172" s="1" t="n">
        <v>46299</v>
      </c>
      <c r="F172" t="inlineStr">
        <is>
          <t>STOCKHOLMS LÄN</t>
        </is>
      </c>
      <c r="G172" t="inlineStr">
        <is>
          <t>SÖDERTÄLJE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20530-2024</t>
        </is>
      </c>
      <c r="B173" t="inlineStr">
        <is>
          <t>avverkningsanmälan</t>
        </is>
      </c>
      <c r="C173" t="inlineStr">
        <is>
          <t>Avverkning för annat ändamål</t>
        </is>
      </c>
      <c r="D173" s="1" t="n">
        <v>45435</v>
      </c>
      <c r="E173" s="1" t="n">
        <v>46299</v>
      </c>
      <c r="F173" t="inlineStr">
        <is>
          <t>STOCKHOLMS LÄN</t>
        </is>
      </c>
      <c r="G173" t="inlineStr">
        <is>
          <t>SÖDERTÄLJE</t>
        </is>
      </c>
      <c r="H173" t="inlineStr">
        <is>
          <t>Övriga Aktiebolag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35918-2022</t>
        </is>
      </c>
      <c r="B174" t="inlineStr">
        <is>
          <t>avverkningsanmälan</t>
        </is>
      </c>
      <c r="C174" t="inlineStr">
        <is>
          <t>Avverkning för annat ändamål</t>
        </is>
      </c>
      <c r="D174" s="1" t="n">
        <v>44802</v>
      </c>
      <c r="E174" s="1" t="n">
        <v>46299</v>
      </c>
      <c r="F174" t="inlineStr">
        <is>
          <t>STOCKHOLMS LÄN</t>
        </is>
      </c>
      <c r="G174" t="inlineStr">
        <is>
          <t>SÖDERTÄLJE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55940-2023</t>
        </is>
      </c>
      <c r="B175" t="inlineStr">
        <is>
          <t>avverkningsanmälan</t>
        </is>
      </c>
      <c r="C175" t="inlineStr">
        <is>
          <t>Föryngringsavverkning</t>
        </is>
      </c>
      <c r="D175" s="1" t="n">
        <v>45240</v>
      </c>
      <c r="E175" s="1" t="n">
        <v>46299</v>
      </c>
      <c r="F175" t="inlineStr">
        <is>
          <t>STOCKHOLMS LÄN</t>
        </is>
      </c>
      <c r="G175" t="inlineStr">
        <is>
          <t>SÖDERTÄLJE</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51931-2023</t>
        </is>
      </c>
      <c r="B176" t="inlineStr">
        <is>
          <t>avverkningsanmälan</t>
        </is>
      </c>
      <c r="C176" t="inlineStr">
        <is>
          <t>Föryngringsavverkning</t>
        </is>
      </c>
      <c r="D176" s="1" t="n">
        <v>45216</v>
      </c>
      <c r="E176" s="1" t="n">
        <v>46299</v>
      </c>
      <c r="F176" t="inlineStr">
        <is>
          <t>STOCKHOLMS LÄN</t>
        </is>
      </c>
      <c r="G176" t="inlineStr">
        <is>
          <t>SÖDERTÄLJE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34194-2024</t>
        </is>
      </c>
      <c r="B177" t="inlineStr">
        <is>
          <t>avverkningsanmälan</t>
        </is>
      </c>
      <c r="C177" t="inlineStr">
        <is>
          <t>Föryngringsavverkning</t>
        </is>
      </c>
      <c r="D177" s="1" t="n">
        <v>45524</v>
      </c>
      <c r="E177" s="1" t="n">
        <v>46299</v>
      </c>
      <c r="F177" t="inlineStr">
        <is>
          <t>STOCKHOLMS LÄN</t>
        </is>
      </c>
      <c r="G177" t="inlineStr">
        <is>
          <t>SÖDERTÄLJE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4440-2023</t>
        </is>
      </c>
      <c r="B178" t="inlineStr">
        <is>
          <t>avverkningsanmälan</t>
        </is>
      </c>
      <c r="C178" t="inlineStr">
        <is>
          <t>Föryngringsavverkning</t>
        </is>
      </c>
      <c r="D178" s="1" t="n">
        <v>44956</v>
      </c>
      <c r="E178" s="1" t="n">
        <v>46299</v>
      </c>
      <c r="F178" t="inlineStr">
        <is>
          <t>STOCKHOLMS LÄN</t>
        </is>
      </c>
      <c r="G178" t="inlineStr">
        <is>
          <t>SÖDERTÄLJE</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1759-2025</t>
        </is>
      </c>
      <c r="B179" t="inlineStr">
        <is>
          <t>avverkningsanmälan</t>
        </is>
      </c>
      <c r="C179" t="inlineStr">
        <is>
          <t>Föryngringsavverkning</t>
        </is>
      </c>
      <c r="D179" s="1" t="n">
        <v>45671</v>
      </c>
      <c r="E179" s="1" t="n">
        <v>46299</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45184-2022</t>
        </is>
      </c>
      <c r="B180" t="inlineStr">
        <is>
          <t>avverkningsanmälan</t>
        </is>
      </c>
      <c r="C180" t="inlineStr">
        <is>
          <t>Föryngringsavverkning</t>
        </is>
      </c>
      <c r="D180" s="1" t="n">
        <v>44844</v>
      </c>
      <c r="E180" s="1" t="n">
        <v>46299</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46299</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36112-2022</t>
        </is>
      </c>
      <c r="B182" t="inlineStr">
        <is>
          <t>avverkningsanmälan</t>
        </is>
      </c>
      <c r="C182" t="inlineStr">
        <is>
          <t>Avverkning för annat ändamål</t>
        </is>
      </c>
      <c r="D182" s="1" t="n">
        <v>44802</v>
      </c>
      <c r="E182" s="1" t="n">
        <v>46299</v>
      </c>
      <c r="F182" t="inlineStr">
        <is>
          <t>STOCKHOLMS LÄN</t>
        </is>
      </c>
      <c r="G182" t="inlineStr">
        <is>
          <t>SÖDERTÄLJE</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37536-2024</t>
        </is>
      </c>
      <c r="B183" t="inlineStr">
        <is>
          <t>avverkningsanmälan</t>
        </is>
      </c>
      <c r="C183" t="inlineStr">
        <is>
          <t>Föryngringsavverkning</t>
        </is>
      </c>
      <c r="D183" s="1" t="n">
        <v>45541</v>
      </c>
      <c r="E183" s="1" t="n">
        <v>46299</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23367-2024</t>
        </is>
      </c>
      <c r="B184" t="inlineStr">
        <is>
          <t>avverkningsanmälan</t>
        </is>
      </c>
      <c r="C184" t="inlineStr">
        <is>
          <t>Avverkning för annat ändamål</t>
        </is>
      </c>
      <c r="D184" s="1" t="n">
        <v>45453</v>
      </c>
      <c r="E184" s="1" t="n">
        <v>46299</v>
      </c>
      <c r="F184" t="inlineStr">
        <is>
          <t>STOCKHOLMS LÄN</t>
        </is>
      </c>
      <c r="G184" t="inlineStr">
        <is>
          <t>SÖDERTÄLJE</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46299</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21726-2025</t>
        </is>
      </c>
      <c r="B186" t="inlineStr">
        <is>
          <t>avverkningsanmälan</t>
        </is>
      </c>
      <c r="C186" t="inlineStr">
        <is>
          <t>Föryngringsavverkning</t>
        </is>
      </c>
      <c r="D186" s="1" t="n">
        <v>45783</v>
      </c>
      <c r="E186" s="1" t="n">
        <v>46299</v>
      </c>
      <c r="F186" t="inlineStr">
        <is>
          <t>STOCKHOLMS LÄN</t>
        </is>
      </c>
      <c r="G186" t="inlineStr">
        <is>
          <t>SÖDERTÄLJE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47977-2022</t>
        </is>
      </c>
      <c r="B187" t="inlineStr">
        <is>
          <t>avverkningsanmälan</t>
        </is>
      </c>
      <c r="C187" t="inlineStr">
        <is>
          <t>Föryngringsavverkning</t>
        </is>
      </c>
      <c r="D187" s="1" t="n">
        <v>44855</v>
      </c>
      <c r="E187" s="1" t="n">
        <v>46299</v>
      </c>
      <c r="F187" t="inlineStr">
        <is>
          <t>STOCKHOLMS LÄN</t>
        </is>
      </c>
      <c r="G187" t="inlineStr">
        <is>
          <t>SÖDERTÄLJE</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6029-2022</t>
        </is>
      </c>
      <c r="B188" t="inlineStr">
        <is>
          <t>samrådsanmälan</t>
        </is>
      </c>
      <c r="C188" t="inlineStr">
        <is>
          <t>Annan skogsbruksåtgärd</t>
        </is>
      </c>
      <c r="D188" s="1" t="n">
        <v>44859</v>
      </c>
      <c r="E188" s="1" t="n">
        <v>46299</v>
      </c>
      <c r="F188" t="inlineStr">
        <is>
          <t>STOCKHOLMS LÄN</t>
        </is>
      </c>
      <c r="G188" t="inlineStr">
        <is>
          <t>SÖDERTÄLJE</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1081-2024</t>
        </is>
      </c>
      <c r="B189" t="inlineStr">
        <is>
          <t>samrådsanmälan</t>
        </is>
      </c>
      <c r="C189" t="inlineStr">
        <is>
          <t>Annan skogsbruksåtgärd</t>
        </is>
      </c>
      <c r="D189" s="1" t="n">
        <v>45390</v>
      </c>
      <c r="E189" s="1" t="n">
        <v>46299</v>
      </c>
      <c r="F189" t="inlineStr">
        <is>
          <t>STOCKHOLMS LÄN</t>
        </is>
      </c>
      <c r="G189" t="inlineStr">
        <is>
          <t>SÖDERTÄLJE</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1920-2022</t>
        </is>
      </c>
      <c r="B190" t="inlineStr">
        <is>
          <t>samrådsanmälan</t>
        </is>
      </c>
      <c r="C190" t="inlineStr">
        <is>
          <t>Åtgärd i nyckelbiotop</t>
        </is>
      </c>
      <c r="D190" s="1" t="n">
        <v>44663</v>
      </c>
      <c r="E190" s="1" t="n">
        <v>46299</v>
      </c>
      <c r="F190" t="inlineStr">
        <is>
          <t>STOCKHOLMS LÄN</t>
        </is>
      </c>
      <c r="G190" t="inlineStr">
        <is>
          <t>SÖDERTÄLJE</t>
        </is>
      </c>
      <c r="H190" t="inlineStr">
        <is>
          <t>Kommuner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3931-2024</t>
        </is>
      </c>
      <c r="B191" t="inlineStr">
        <is>
          <t>samrådsanmälan</t>
        </is>
      </c>
      <c r="C191" t="inlineStr">
        <is>
          <t>Annan skogsbruksåtgärd</t>
        </is>
      </c>
      <c r="D191" s="1" t="n">
        <v>45565</v>
      </c>
      <c r="E191" s="1" t="n">
        <v>46299</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2770-2024</t>
        </is>
      </c>
      <c r="B192" t="inlineStr">
        <is>
          <t>samrådsanmälan</t>
        </is>
      </c>
      <c r="C192" t="inlineStr">
        <is>
          <t>Annan skogsbruksåtgärd</t>
        </is>
      </c>
      <c r="D192" s="1" t="n">
        <v>45485</v>
      </c>
      <c r="E192" s="1" t="n">
        <v>46299</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4009-2024</t>
        </is>
      </c>
      <c r="B193" t="inlineStr">
        <is>
          <t>samrådsanmälan</t>
        </is>
      </c>
      <c r="C193" t="inlineStr">
        <is>
          <t>Annan skogsbruksåtgärd</t>
        </is>
      </c>
      <c r="D193" s="1" t="n">
        <v>45571</v>
      </c>
      <c r="E193" s="1" t="n">
        <v>46299</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c r="A194" t="inlineStr">
        <is>
          <t>S 6039-2022</t>
        </is>
      </c>
      <c r="B194" t="inlineStr">
        <is>
          <t>samrådsanmälan</t>
        </is>
      </c>
      <c r="C194" t="inlineStr">
        <is>
          <t>Annan skogsbruksåtgärd</t>
        </is>
      </c>
      <c r="D194" s="1" t="n">
        <v>44859</v>
      </c>
      <c r="E194" s="1" t="n">
        <v>46299</v>
      </c>
      <c r="F194" t="inlineStr">
        <is>
          <t>STOCKHOLMS LÄN</t>
        </is>
      </c>
      <c r="G194" t="inlineStr">
        <is>
          <t>SÖDERTÄLJE</t>
        </is>
      </c>
      <c r="H194" t="inlineStr">
        <is>
          <t>Sveaskog</t>
        </is>
      </c>
      <c r="I194" t="n">
        <v>6.8</v>
      </c>
      <c r="J194" t="n">
        <v>0</v>
      </c>
      <c r="K194" t="n">
        <v>0</v>
      </c>
      <c r="L194" t="n">
        <v>0</v>
      </c>
      <c r="M194" t="n">
        <v>0</v>
      </c>
      <c r="N194" t="n">
        <v>0</v>
      </c>
      <c r="O194" t="n">
        <v>0</v>
      </c>
      <c r="P194" t="n">
        <v>0</v>
      </c>
      <c r="Q194" t="n">
        <v>0</v>
      </c>
      <c r="R194" t="n">
        <v>0</v>
      </c>
      <c r="S194" t="n">
        <v>0</v>
      </c>
      <c r="T194" t="n">
        <v>0</v>
      </c>
      <c r="U194" t="n">
        <v>0</v>
      </c>
      <c r="V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2026-10-04T02:00:06Z</dcterms:created>
  <dcterms:modified xmlns:dcterms="http://purl.org/dc/terms/" xmlns:xsi="http://www.w3.org/2001/XMLSchema-instance" xsi:type="dcterms:W3CDTF">2026-10-04T02:00:07Z</dcterms:modified>
</cp:coreProperties>
</file>