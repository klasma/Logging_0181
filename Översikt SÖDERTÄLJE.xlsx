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46090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46090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46090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46090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46090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46090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46090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46090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46090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46090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46090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46090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46090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46090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46090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46090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46090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46090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46090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46090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46090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46090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46090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46090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46090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9205-2026</t>
        </is>
      </c>
      <c r="B31" s="1" t="n">
        <v>46070.41689814815</v>
      </c>
      <c r="C31" s="1" t="n">
        <v>46090</v>
      </c>
      <c r="D31" t="inlineStr">
        <is>
          <t>STOCKHOLMS LÄN</t>
        </is>
      </c>
      <c r="E31" t="inlineStr">
        <is>
          <t>SÖDERTÄLJE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Gullgröppa</t>
        </is>
      </c>
      <c r="S31">
        <f>HYPERLINK("https://klasma.github.io/Logging_0181/artfynd/A 9205-2026 artfynd.xlsx", "A 9205-2026")</f>
        <v/>
      </c>
      <c r="T31">
        <f>HYPERLINK("https://klasma.github.io/Logging_0181/kartor/A 9205-2026 karta.png", "A 9205-2026")</f>
        <v/>
      </c>
      <c r="V31">
        <f>HYPERLINK("https://klasma.github.io/Logging_0181/klagomål/A 9205-2026 FSC-klagomål.docx", "A 9205-2026")</f>
        <v/>
      </c>
      <c r="W31">
        <f>HYPERLINK("https://klasma.github.io/Logging_0181/klagomålsmail/A 9205-2026 FSC-klagomål mail.docx", "A 9205-2026")</f>
        <v/>
      </c>
      <c r="X31">
        <f>HYPERLINK("https://klasma.github.io/Logging_0181/tillsyn/A 9205-2026 tillsynsbegäran.docx", "A 9205-2026")</f>
        <v/>
      </c>
      <c r="Y31">
        <f>HYPERLINK("https://klasma.github.io/Logging_0181/tillsynsmail/A 9205-2026 tillsynsbegäran mail.docx", "A 9205-2026")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46090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46090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46090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46090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46090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46090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46090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46090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46090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46090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46090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46090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46090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46090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46090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46090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46090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46090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46090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46090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46090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46090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46090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46090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46090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46090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46090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46090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46090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46090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46090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46090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46090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46090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46090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46090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46090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46090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46090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46090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46090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46090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46090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46090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46090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46090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46090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46090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11319-2024</t>
        </is>
      </c>
      <c r="B80" s="1" t="n">
        <v>45371.91613425926</v>
      </c>
      <c r="C80" s="1" t="n">
        <v>46090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46090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46090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46090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46090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46090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46090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46090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46090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46090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46090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28981-2023</t>
        </is>
      </c>
      <c r="B91" s="1" t="n">
        <v>45104</v>
      </c>
      <c r="C91" s="1" t="n">
        <v>46090</v>
      </c>
      <c r="D91" t="inlineStr">
        <is>
          <t>STOCKHOLMS LÄN</t>
        </is>
      </c>
      <c r="E91" t="inlineStr">
        <is>
          <t>SÖDERTÄLJE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46090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46090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234-2026</t>
        </is>
      </c>
      <c r="B94" s="1" t="n">
        <v>46027.36018518519</v>
      </c>
      <c r="C94" s="1" t="n">
        <v>46090</v>
      </c>
      <c r="D94" t="inlineStr">
        <is>
          <t>STOCKHOLMS LÄN</t>
        </is>
      </c>
      <c r="E94" t="inlineStr">
        <is>
          <t>SÖDERTÄLJE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243-2026</t>
        </is>
      </c>
      <c r="B95" s="1" t="n">
        <v>46027.39109953704</v>
      </c>
      <c r="C95" s="1" t="n">
        <v>46090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16615-2024</t>
        </is>
      </c>
      <c r="B96" s="1" t="n">
        <v>45408</v>
      </c>
      <c r="C96" s="1" t="n">
        <v>46090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52101-2022</t>
        </is>
      </c>
      <c r="B97" s="1" t="n">
        <v>44873</v>
      </c>
      <c r="C97" s="1" t="n">
        <v>46090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46090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42133-2023</t>
        </is>
      </c>
      <c r="B99" s="1" t="n">
        <v>45177.83136574074</v>
      </c>
      <c r="C99" s="1" t="n">
        <v>46090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37844-2022</t>
        </is>
      </c>
      <c r="B100" s="1" t="n">
        <v>44810</v>
      </c>
      <c r="C100" s="1" t="n">
        <v>46090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10280-2025</t>
        </is>
      </c>
      <c r="B101" s="1" t="n">
        <v>45720.40354166667</v>
      </c>
      <c r="C101" s="1" t="n">
        <v>46090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36886-2023</t>
        </is>
      </c>
      <c r="B102" s="1" t="n">
        <v>45154</v>
      </c>
      <c r="C102" s="1" t="n">
        <v>46090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46090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46090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46090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46090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32044-2023</t>
        </is>
      </c>
      <c r="B107" s="1" t="n">
        <v>45119</v>
      </c>
      <c r="C107" s="1" t="n">
        <v>46090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231-2026</t>
        </is>
      </c>
      <c r="B108" s="1" t="n">
        <v>46027.34201388889</v>
      </c>
      <c r="C108" s="1" t="n">
        <v>46090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233-2026</t>
        </is>
      </c>
      <c r="B109" s="1" t="n">
        <v>46027.34767361111</v>
      </c>
      <c r="C109" s="1" t="n">
        <v>46090</v>
      </c>
      <c r="D109" t="inlineStr">
        <is>
          <t>STOCKHOLMS LÄN</t>
        </is>
      </c>
      <c r="E109" t="inlineStr">
        <is>
          <t>SÖDERTÄLJE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46090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46090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9234-2026</t>
        </is>
      </c>
      <c r="B112" s="1" t="n">
        <v>46070.46931712963</v>
      </c>
      <c r="C112" s="1" t="n">
        <v>46090</v>
      </c>
      <c r="D112" t="inlineStr">
        <is>
          <t>STOCKHOLMS LÄN</t>
        </is>
      </c>
      <c r="E112" t="inlineStr">
        <is>
          <t>SÖDERTÄLJE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46090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12907-2024</t>
        </is>
      </c>
      <c r="B114" s="1" t="n">
        <v>45385</v>
      </c>
      <c r="C114" s="1" t="n">
        <v>46090</v>
      </c>
      <c r="D114" t="inlineStr">
        <is>
          <t>STOCKHOLMS LÄN</t>
        </is>
      </c>
      <c r="E114" t="inlineStr">
        <is>
          <t>SÖDERTÄLJE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46090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28502-2023</t>
        </is>
      </c>
      <c r="B116" s="1" t="n">
        <v>45103</v>
      </c>
      <c r="C116" s="1" t="n">
        <v>46090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46090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46090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46090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46090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18592-2023</t>
        </is>
      </c>
      <c r="B121" s="1" t="n">
        <v>45043</v>
      </c>
      <c r="C121" s="1" t="n">
        <v>46090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38194-2025</t>
        </is>
      </c>
      <c r="B122" s="1" t="n">
        <v>45882.65921296296</v>
      </c>
      <c r="C122" s="1" t="n">
        <v>46090</v>
      </c>
      <c r="D122" t="inlineStr">
        <is>
          <t>STOCKHOLMS LÄN</t>
        </is>
      </c>
      <c r="E122" t="inlineStr">
        <is>
          <t>SÖDERTÄLJE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46090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1150-2026</t>
        </is>
      </c>
      <c r="B124" s="1" t="n">
        <v>46030.98674768519</v>
      </c>
      <c r="C124" s="1" t="n">
        <v>46090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46090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46090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46090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50059-2021</t>
        </is>
      </c>
      <c r="B128" s="1" t="n">
        <v>44455</v>
      </c>
      <c r="C128" s="1" t="n">
        <v>46090</v>
      </c>
      <c r="D128" t="inlineStr">
        <is>
          <t>STOCKHOLMS LÄN</t>
        </is>
      </c>
      <c r="E128" t="inlineStr">
        <is>
          <t>SÖDERTÄLJE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1696-2026</t>
        </is>
      </c>
      <c r="B129" s="1" t="n">
        <v>46034.59373842592</v>
      </c>
      <c r="C129" s="1" t="n">
        <v>46090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55532-2025</t>
        </is>
      </c>
      <c r="B130" s="1" t="n">
        <v>45971.62462962963</v>
      </c>
      <c r="C130" s="1" t="n">
        <v>46090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1715-2026</t>
        </is>
      </c>
      <c r="B131" s="1" t="n">
        <v>46034.60863425926</v>
      </c>
      <c r="C131" s="1" t="n">
        <v>46090</v>
      </c>
      <c r="D131" t="inlineStr">
        <is>
          <t>STOCKHOLMS LÄN</t>
        </is>
      </c>
      <c r="E131" t="inlineStr">
        <is>
          <t>SÖDERTÄLJE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10327-2026</t>
        </is>
      </c>
      <c r="B132" s="1" t="n">
        <v>46076.66210648148</v>
      </c>
      <c r="C132" s="1" t="n">
        <v>46090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46090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46090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35200-2023</t>
        </is>
      </c>
      <c r="B135" s="1" t="n">
        <v>45145</v>
      </c>
      <c r="C135" s="1" t="n">
        <v>46090</v>
      </c>
      <c r="D135" t="inlineStr">
        <is>
          <t>STOCKHOLMS LÄN</t>
        </is>
      </c>
      <c r="E135" t="inlineStr">
        <is>
          <t>SÖDERTÄLJE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31212-2024</t>
        </is>
      </c>
      <c r="B136" s="1" t="n">
        <v>45503</v>
      </c>
      <c r="C136" s="1" t="n">
        <v>46090</v>
      </c>
      <c r="D136" t="inlineStr">
        <is>
          <t>STOCKHOLMS LÄN</t>
        </is>
      </c>
      <c r="E136" t="inlineStr">
        <is>
          <t>SÖDERTÄLJE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58140-2023</t>
        </is>
      </c>
      <c r="B137" s="1" t="n">
        <v>45250</v>
      </c>
      <c r="C137" s="1" t="n">
        <v>46090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2685-2026</t>
        </is>
      </c>
      <c r="B138" s="1" t="n">
        <v>46037.65710648148</v>
      </c>
      <c r="C138" s="1" t="n">
        <v>46090</v>
      </c>
      <c r="D138" t="inlineStr">
        <is>
          <t>STOCKHOLMS LÄN</t>
        </is>
      </c>
      <c r="E138" t="inlineStr">
        <is>
          <t>SÖDERTÄLJE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46090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46090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3152-2026</t>
        </is>
      </c>
      <c r="B141" s="1" t="n">
        <v>46041</v>
      </c>
      <c r="C141" s="1" t="n">
        <v>46090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60897-2025</t>
        </is>
      </c>
      <c r="B142" s="1" t="n">
        <v>45999.58038194444</v>
      </c>
      <c r="C142" s="1" t="n">
        <v>46090</v>
      </c>
      <c r="D142" t="inlineStr">
        <is>
          <t>STOCKHOLMS LÄN</t>
        </is>
      </c>
      <c r="E142" t="inlineStr">
        <is>
          <t>SÖDERTÄLJE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487-2024</t>
        </is>
      </c>
      <c r="B143" s="1" t="n">
        <v>45298.85216435185</v>
      </c>
      <c r="C143" s="1" t="n">
        <v>46090</v>
      </c>
      <c r="D143" t="inlineStr">
        <is>
          <t>STOCKHOLMS LÄN</t>
        </is>
      </c>
      <c r="E143" t="inlineStr">
        <is>
          <t>SÖDERTÄLJE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61735-2025</t>
        </is>
      </c>
      <c r="B144" s="1" t="n">
        <v>46002.594375</v>
      </c>
      <c r="C144" s="1" t="n">
        <v>46090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10446-2026</t>
        </is>
      </c>
      <c r="B145" s="1" t="n">
        <v>46077.43023148148</v>
      </c>
      <c r="C145" s="1" t="n">
        <v>46090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10450-2026</t>
        </is>
      </c>
      <c r="B146" s="1" t="n">
        <v>46077.43619212963</v>
      </c>
      <c r="C146" s="1" t="n">
        <v>46090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10452-2026</t>
        </is>
      </c>
      <c r="B147" s="1" t="n">
        <v>46077.43957175926</v>
      </c>
      <c r="C147" s="1" t="n">
        <v>46090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10426-2026</t>
        </is>
      </c>
      <c r="B148" s="1" t="n">
        <v>46077.37449074074</v>
      </c>
      <c r="C148" s="1" t="n">
        <v>46090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46090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46090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10404-2026</t>
        </is>
      </c>
      <c r="B151" s="1" t="n">
        <v>46077.34288194445</v>
      </c>
      <c r="C151" s="1" t="n">
        <v>46090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10417-2026</t>
        </is>
      </c>
      <c r="B152" s="1" t="n">
        <v>46077.35170138889</v>
      </c>
      <c r="C152" s="1" t="n">
        <v>46090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10428-2026</t>
        </is>
      </c>
      <c r="B153" s="1" t="n">
        <v>46077.37820601852</v>
      </c>
      <c r="C153" s="1" t="n">
        <v>46090</v>
      </c>
      <c r="D153" t="inlineStr">
        <is>
          <t>STOCKHOLMS LÄN</t>
        </is>
      </c>
      <c r="E153" t="inlineStr">
        <is>
          <t>SÖDERTÄLJE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47576-2023</t>
        </is>
      </c>
      <c r="B154" s="1" t="n">
        <v>45197</v>
      </c>
      <c r="C154" s="1" t="n">
        <v>46090</v>
      </c>
      <c r="D154" t="inlineStr">
        <is>
          <t>STOCKHOLMS LÄN</t>
        </is>
      </c>
      <c r="E154" t="inlineStr">
        <is>
          <t>SÖDERTÄLJE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34449-2021</t>
        </is>
      </c>
      <c r="B155" s="1" t="n">
        <v>44381.63587962963</v>
      </c>
      <c r="C155" s="1" t="n">
        <v>46090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10425-2026</t>
        </is>
      </c>
      <c r="B156" s="1" t="n">
        <v>46077.36981481482</v>
      </c>
      <c r="C156" s="1" t="n">
        <v>46090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10414-2026</t>
        </is>
      </c>
      <c r="B157" s="1" t="n">
        <v>46077.34652777778</v>
      </c>
      <c r="C157" s="1" t="n">
        <v>46090</v>
      </c>
      <c r="D157" t="inlineStr">
        <is>
          <t>STOCKHOLMS LÄN</t>
        </is>
      </c>
      <c r="E157" t="inlineStr">
        <is>
          <t>SÖDERTÄLJE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35906-2022</t>
        </is>
      </c>
      <c r="B158" s="1" t="n">
        <v>44802</v>
      </c>
      <c r="C158" s="1" t="n">
        <v>46090</v>
      </c>
      <c r="D158" t="inlineStr">
        <is>
          <t>STOCKHOLMS LÄN</t>
        </is>
      </c>
      <c r="E158" t="inlineStr">
        <is>
          <t>SÖDERTÄLJE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12116-2026</t>
        </is>
      </c>
      <c r="B159" s="1" t="n">
        <v>46086.54368055556</v>
      </c>
      <c r="C159" s="1" t="n">
        <v>46090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34450-2021</t>
        </is>
      </c>
      <c r="B160" s="1" t="n">
        <v>44381</v>
      </c>
      <c r="C160" s="1" t="n">
        <v>46090</v>
      </c>
      <c r="D160" t="inlineStr">
        <is>
          <t>STOCKHOLMS LÄN</t>
        </is>
      </c>
      <c r="E160" t="inlineStr">
        <is>
          <t>SÖDERTÄLJE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52815-2023</t>
        </is>
      </c>
      <c r="B161" s="1" t="n">
        <v>45226</v>
      </c>
      <c r="C161" s="1" t="n">
        <v>46090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12121-2026</t>
        </is>
      </c>
      <c r="B162" s="1" t="n">
        <v>46086.54655092592</v>
      </c>
      <c r="C162" s="1" t="n">
        <v>46090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7023-2026</t>
        </is>
      </c>
      <c r="B163" s="1" t="n">
        <v>46057.66645833333</v>
      </c>
      <c r="C163" s="1" t="n">
        <v>46090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60635-2024</t>
        </is>
      </c>
      <c r="B164" s="1" t="n">
        <v>45644.41744212963</v>
      </c>
      <c r="C164" s="1" t="n">
        <v>46090</v>
      </c>
      <c r="D164" t="inlineStr">
        <is>
          <t>STOCKHOLMS LÄN</t>
        </is>
      </c>
      <c r="E164" t="inlineStr">
        <is>
          <t>SÖDERTÄLJE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10263-2025</t>
        </is>
      </c>
      <c r="B165" s="1" t="n">
        <v>45720.38165509259</v>
      </c>
      <c r="C165" s="1" t="n">
        <v>46090</v>
      </c>
      <c r="D165" t="inlineStr">
        <is>
          <t>STOCKHOLMS LÄN</t>
        </is>
      </c>
      <c r="E165" t="inlineStr">
        <is>
          <t>SÖDERTÄLJE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10277-2025</t>
        </is>
      </c>
      <c r="B166" s="1" t="n">
        <v>45720.39836805555</v>
      </c>
      <c r="C166" s="1" t="n">
        <v>46090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46090</v>
      </c>
      <c r="D167" t="inlineStr">
        <is>
          <t>STOCKHOLMS LÄN</t>
        </is>
      </c>
      <c r="E167" t="inlineStr">
        <is>
          <t>SÖDERTÄLJE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25706-2023</t>
        </is>
      </c>
      <c r="B168" s="1" t="n">
        <v>45090</v>
      </c>
      <c r="C168" s="1" t="n">
        <v>46090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46090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46090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46090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46090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46090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46090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46090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46090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46090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46090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46090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46090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46090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46090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46090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46090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46090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46090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46090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46090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46090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46090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46090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46090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46090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46090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46090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46090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46090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46090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46090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46090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46090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46090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46090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46090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46090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46090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46090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46090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46090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46090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46090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9891-2025</t>
        </is>
      </c>
      <c r="B212" s="1" t="n">
        <v>45716.70479166666</v>
      </c>
      <c r="C212" s="1" t="n">
        <v>46090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33892-2022</t>
        </is>
      </c>
      <c r="B213" s="1" t="n">
        <v>44790.60921296296</v>
      </c>
      <c r="C213" s="1" t="n">
        <v>46090</v>
      </c>
      <c r="D213" t="inlineStr">
        <is>
          <t>STOCKHOLMS LÄN</t>
        </is>
      </c>
      <c r="E213" t="inlineStr">
        <is>
          <t>SÖDERTÄLJE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47977-2022</t>
        </is>
      </c>
      <c r="B214" s="1" t="n">
        <v>44855</v>
      </c>
      <c r="C214" s="1" t="n">
        <v>46090</v>
      </c>
      <c r="D214" t="inlineStr">
        <is>
          <t>STOCKHOLMS LÄN</t>
        </is>
      </c>
      <c r="E214" t="inlineStr">
        <is>
          <t>SÖDERTÄLJE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17979-2024</t>
        </is>
      </c>
      <c r="B215" s="1" t="n">
        <v>45419.86915509259</v>
      </c>
      <c r="C215" s="1" t="n">
        <v>46090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19210-2024</t>
        </is>
      </c>
      <c r="B216" s="1" t="n">
        <v>45428.54665509259</v>
      </c>
      <c r="C216" s="1" t="n">
        <v>46090</v>
      </c>
      <c r="D216" t="inlineStr">
        <is>
          <t>STOCKHOLMS LÄN</t>
        </is>
      </c>
      <c r="E216" t="inlineStr">
        <is>
          <t>SÖDERTÄLJE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2026-03-09T11:19:30Z</dcterms:created>
  <dcterms:modified xmlns:dcterms="http://purl.org/dc/terms/" xmlns:xsi="http://www.w3.org/2001/XMLSchema-instance" xsi:type="dcterms:W3CDTF">2026-03-09T11:19:30Z</dcterms:modified>
</cp:coreProperties>
</file>