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46003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46003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46003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46003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46003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46003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46003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46003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46003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46003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46003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46003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46003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46003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46003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46003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46003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46003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46003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46003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46003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46003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46003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19793-2024</t>
        </is>
      </c>
      <c r="B25" s="1" t="n">
        <v>45432</v>
      </c>
      <c r="C25" s="1" t="n">
        <v>46003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Aktiebolag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HYPERLINK("https://klasma.github.io/Logging_0181/artfynd/A 19793-2024 artfynd.xlsx", "A 19793-2024")</f>
        <v/>
      </c>
      <c r="T25">
        <f>HYPERLINK("https://klasma.github.io/Logging_0181/kartor/A 19793-2024 karta.png", "A 19793-2024")</f>
        <v/>
      </c>
      <c r="V25">
        <f>HYPERLINK("https://klasma.github.io/Logging_0181/klagomål/A 19793-2024 FSC-klagomål.docx", "A 19793-2024")</f>
        <v/>
      </c>
      <c r="W25">
        <f>HYPERLINK("https://klasma.github.io/Logging_0181/klagomålsmail/A 19793-2024 FSC-klagomål mail.docx", "A 19793-2024")</f>
        <v/>
      </c>
      <c r="X25">
        <f>HYPERLINK("https://klasma.github.io/Logging_0181/tillsyn/A 19793-2024 tillsynsbegäran.docx", "A 19793-2024")</f>
        <v/>
      </c>
      <c r="Y25">
        <f>HYPERLINK("https://klasma.github.io/Logging_0181/tillsynsmail/A 19793-2024 tillsynsbegäran mail.docx", "A 19793-2024")</f>
        <v/>
      </c>
    </row>
    <row r="26" ht="15" customHeight="1">
      <c r="A26" t="inlineStr">
        <is>
          <t>A 35013-2024</t>
        </is>
      </c>
      <c r="B26" s="1" t="n">
        <v>45527</v>
      </c>
      <c r="C26" s="1" t="n">
        <v>46003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 fjädermossa</t>
        </is>
      </c>
      <c r="S26">
        <f>HYPERLINK("https://klasma.github.io/Logging_0181/artfynd/A 35013-2024 artfynd.xlsx", "A 35013-2024")</f>
        <v/>
      </c>
      <c r="T26">
        <f>HYPERLINK("https://klasma.github.io/Logging_0181/kartor/A 35013-2024 karta.png", "A 35013-2024")</f>
        <v/>
      </c>
      <c r="V26">
        <f>HYPERLINK("https://klasma.github.io/Logging_0181/klagomål/A 35013-2024 FSC-klagomål.docx", "A 35013-2024")</f>
        <v/>
      </c>
      <c r="W26">
        <f>HYPERLINK("https://klasma.github.io/Logging_0181/klagomålsmail/A 35013-2024 FSC-klagomål mail.docx", "A 35013-2024")</f>
        <v/>
      </c>
      <c r="X26">
        <f>HYPERLINK("https://klasma.github.io/Logging_0181/tillsyn/A 35013-2024 tillsynsbegäran.docx", "A 35013-2024")</f>
        <v/>
      </c>
      <c r="Y26">
        <f>HYPERLINK("https://klasma.github.io/Logging_0181/tillsynsmail/A 35013-2024 tillsynsbegäran mail.docx", "A 35013-2024")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46003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46003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27058-2024</t>
        </is>
      </c>
      <c r="B29" s="1" t="n">
        <v>45471</v>
      </c>
      <c r="C29" s="1" t="n">
        <v>46003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27058-2024 artfynd.xlsx", "A 27058-2024")</f>
        <v/>
      </c>
      <c r="T29">
        <f>HYPERLINK("https://klasma.github.io/Logging_0181/kartor/A 27058-2024 karta.png", "A 27058-2024")</f>
        <v/>
      </c>
      <c r="V29">
        <f>HYPERLINK("https://klasma.github.io/Logging_0181/klagomål/A 27058-2024 FSC-klagomål.docx", "A 27058-2024")</f>
        <v/>
      </c>
      <c r="W29">
        <f>HYPERLINK("https://klasma.github.io/Logging_0181/klagomålsmail/A 27058-2024 FSC-klagomål mail.docx", "A 27058-2024")</f>
        <v/>
      </c>
      <c r="X29">
        <f>HYPERLINK("https://klasma.github.io/Logging_0181/tillsyn/A 27058-2024 tillsynsbegäran.docx", "A 27058-2024")</f>
        <v/>
      </c>
      <c r="Y29">
        <f>HYPERLINK("https://klasma.github.io/Logging_0181/tillsynsmail/A 27058-2024 tillsynsbegäran mail.docx", "A 27058-2024")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46003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46003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52046-2022</t>
        </is>
      </c>
      <c r="B32" s="1" t="n">
        <v>44868</v>
      </c>
      <c r="C32" s="1" t="n">
        <v>46003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Tjockfotad fingersvamp</t>
        </is>
      </c>
      <c r="S32">
        <f>HYPERLINK("https://klasma.github.io/Logging_0181/artfynd/A 52046-2022 artfynd.xlsx", "A 52046-2022")</f>
        <v/>
      </c>
      <c r="T32">
        <f>HYPERLINK("https://klasma.github.io/Logging_0181/kartor/A 52046-2022 karta.png", "A 52046-2022")</f>
        <v/>
      </c>
      <c r="V32">
        <f>HYPERLINK("https://klasma.github.io/Logging_0181/klagomål/A 52046-2022 FSC-klagomål.docx", "A 52046-2022")</f>
        <v/>
      </c>
      <c r="W32">
        <f>HYPERLINK("https://klasma.github.io/Logging_0181/klagomålsmail/A 52046-2022 FSC-klagomål mail.docx", "A 52046-2022")</f>
        <v/>
      </c>
      <c r="X32">
        <f>HYPERLINK("https://klasma.github.io/Logging_0181/tillsyn/A 52046-2022 tillsynsbegäran.docx", "A 52046-2022")</f>
        <v/>
      </c>
      <c r="Y32">
        <f>HYPERLINK("https://klasma.github.io/Logging_0181/tillsynsmail/A 52046-2022 tillsynsbegäran mail.docx", "A 52046-2022")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46003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46003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46003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46003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46003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46003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23772-2025</t>
        </is>
      </c>
      <c r="B39" s="1" t="n">
        <v>45793.48637731482</v>
      </c>
      <c r="C39" s="1" t="n">
        <v>46003</v>
      </c>
      <c r="D39" t="inlineStr">
        <is>
          <t>STOCKHOLMS LÄN</t>
        </is>
      </c>
      <c r="E39" t="inlineStr">
        <is>
          <t>SÖDERTÄLJE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HYPERLINK("https://klasma.github.io/Logging_0181/artfynd/A 23772-2025 artfynd.xlsx", "A 23772-2025")</f>
        <v/>
      </c>
      <c r="T39">
        <f>HYPERLINK("https://klasma.github.io/Logging_0181/kartor/A 23772-2025 karta.png", "A 23772-2025")</f>
        <v/>
      </c>
      <c r="V39">
        <f>HYPERLINK("https://klasma.github.io/Logging_0181/klagomål/A 23772-2025 FSC-klagomål.docx", "A 23772-2025")</f>
        <v/>
      </c>
      <c r="W39">
        <f>HYPERLINK("https://klasma.github.io/Logging_0181/klagomålsmail/A 23772-2025 FSC-klagomål mail.docx", "A 23772-2025")</f>
        <v/>
      </c>
      <c r="X39">
        <f>HYPERLINK("https://klasma.github.io/Logging_0181/tillsyn/A 23772-2025 tillsynsbegäran.docx", "A 23772-2025")</f>
        <v/>
      </c>
      <c r="Y39">
        <f>HYPERLINK("https://klasma.github.io/Logging_0181/tillsynsmail/A 23772-2025 tillsynsbegäran mail.docx", "A 23772-2025")</f>
        <v/>
      </c>
      <c r="Z39">
        <f>HYPERLINK("https://klasma.github.io/Logging_0181/fåglar/A 23772-2025 prioriterade fågelarter.docx", "A 23772-2025")</f>
        <v/>
      </c>
    </row>
    <row r="40" ht="15" customHeight="1">
      <c r="A40" t="inlineStr">
        <is>
          <t>A 55044-2025</t>
        </is>
      </c>
      <c r="B40" s="1" t="n">
        <v>45967.66005787037</v>
      </c>
      <c r="C40" s="1" t="n">
        <v>46003</v>
      </c>
      <c r="D40" t="inlineStr">
        <is>
          <t>STOCKHOLMS LÄN</t>
        </is>
      </c>
      <c r="E40" t="inlineStr">
        <is>
          <t>SÖDERTÄLJE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55044-2025 artfynd.xlsx", "A 55044-2025")</f>
        <v/>
      </c>
      <c r="T40">
        <f>HYPERLINK("https://klasma.github.io/Logging_0181/kartor/A 55044-2025 karta.png", "A 55044-2025")</f>
        <v/>
      </c>
      <c r="V40">
        <f>HYPERLINK("https://klasma.github.io/Logging_0181/klagomål/A 55044-2025 FSC-klagomål.docx", "A 55044-2025")</f>
        <v/>
      </c>
      <c r="W40">
        <f>HYPERLINK("https://klasma.github.io/Logging_0181/klagomålsmail/A 55044-2025 FSC-klagomål mail.docx", "A 55044-2025")</f>
        <v/>
      </c>
      <c r="X40">
        <f>HYPERLINK("https://klasma.github.io/Logging_0181/tillsyn/A 55044-2025 tillsynsbegäran.docx", "A 55044-2025")</f>
        <v/>
      </c>
      <c r="Y40">
        <f>HYPERLINK("https://klasma.github.io/Logging_0181/tillsynsmail/A 55044-2025 tillsynsbegäran mail.docx", "A 55044-2025")</f>
        <v/>
      </c>
      <c r="Z40">
        <f>HYPERLINK("https://klasma.github.io/Logging_0181/fåglar/A 55044-2025 prioriterade fågelarter.docx", "A 55044-2025")</f>
        <v/>
      </c>
    </row>
    <row r="41" ht="15" customHeight="1">
      <c r="A41" t="inlineStr">
        <is>
          <t>A 48341-2025</t>
        </is>
      </c>
      <c r="B41" s="1" t="n">
        <v>45933</v>
      </c>
      <c r="C41" s="1" t="n">
        <v>46003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bockrot</t>
        </is>
      </c>
      <c r="S41">
        <f>HYPERLINK("https://klasma.github.io/Logging_0181/artfynd/A 48341-2025 artfynd.xlsx", "A 48341-2025")</f>
        <v/>
      </c>
      <c r="T41">
        <f>HYPERLINK("https://klasma.github.io/Logging_0181/kartor/A 48341-2025 karta.png", "A 48341-2025")</f>
        <v/>
      </c>
      <c r="U41">
        <f>HYPERLINK("https://klasma.github.io/Logging_0181/knärot/A 48341-2025 karta knärot.png", "A 48341-2025")</f>
        <v/>
      </c>
      <c r="V41">
        <f>HYPERLINK("https://klasma.github.io/Logging_0181/klagomål/A 48341-2025 FSC-klagomål.docx", "A 48341-2025")</f>
        <v/>
      </c>
      <c r="W41">
        <f>HYPERLINK("https://klasma.github.io/Logging_0181/klagomålsmail/A 48341-2025 FSC-klagomål mail.docx", "A 48341-2025")</f>
        <v/>
      </c>
      <c r="X41">
        <f>HYPERLINK("https://klasma.github.io/Logging_0181/tillsyn/A 48341-2025 tillsynsbegäran.docx", "A 48341-2025")</f>
        <v/>
      </c>
      <c r="Y41">
        <f>HYPERLINK("https://klasma.github.io/Logging_0181/tillsynsmail/A 48341-2025 tillsynsbegäran mail.docx", "A 48341-2025")</f>
        <v/>
      </c>
    </row>
    <row r="42" ht="15" customHeight="1">
      <c r="A42" t="inlineStr">
        <is>
          <t>A 36505-2025</t>
        </is>
      </c>
      <c r="B42" s="1" t="n">
        <v>45869.57192129629</v>
      </c>
      <c r="C42" s="1" t="n">
        <v>46003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HYPERLINK("https://klasma.github.io/Logging_0181/artfynd/A 36505-2025 artfynd.xlsx", "A 36505-2025")</f>
        <v/>
      </c>
      <c r="T42">
        <f>HYPERLINK("https://klasma.github.io/Logging_0181/kartor/A 36505-2025 karta.png", "A 36505-2025")</f>
        <v/>
      </c>
      <c r="V42">
        <f>HYPERLINK("https://klasma.github.io/Logging_0181/klagomål/A 36505-2025 FSC-klagomål.docx", "A 36505-2025")</f>
        <v/>
      </c>
      <c r="W42">
        <f>HYPERLINK("https://klasma.github.io/Logging_0181/klagomålsmail/A 36505-2025 FSC-klagomål mail.docx", "A 36505-2025")</f>
        <v/>
      </c>
      <c r="X42">
        <f>HYPERLINK("https://klasma.github.io/Logging_0181/tillsyn/A 36505-2025 tillsynsbegäran.docx", "A 36505-2025")</f>
        <v/>
      </c>
      <c r="Y42">
        <f>HYPERLINK("https://klasma.github.io/Logging_0181/tillsynsmail/A 36505-2025 tillsynsbegäran mail.docx", "A 36505-2025")</f>
        <v/>
      </c>
    </row>
    <row r="43" ht="15" customHeight="1">
      <c r="A43" t="inlineStr">
        <is>
          <t>A 40751-2021</t>
        </is>
      </c>
      <c r="B43" s="1" t="n">
        <v>44420</v>
      </c>
      <c r="C43" s="1" t="n">
        <v>46003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46003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11126-2021</t>
        </is>
      </c>
      <c r="B45" s="1" t="n">
        <v>44260</v>
      </c>
      <c r="C45" s="1" t="n">
        <v>46003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46003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46003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46003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46003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46003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46003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46003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46003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46003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46003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46003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46003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46003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46003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46003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46003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46003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50117-2021</t>
        </is>
      </c>
      <c r="B63" s="1" t="n">
        <v>44456.64810185185</v>
      </c>
      <c r="C63" s="1" t="n">
        <v>46003</v>
      </c>
      <c r="D63" t="inlineStr">
        <is>
          <t>STOCKHOLMS LÄN</t>
        </is>
      </c>
      <c r="E63" t="inlineStr">
        <is>
          <t>SÖDERTÄLJE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46003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11368-2021</t>
        </is>
      </c>
      <c r="B65" s="1" t="n">
        <v>44263</v>
      </c>
      <c r="C65" s="1" t="n">
        <v>46003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46003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42339-2024</t>
        </is>
      </c>
      <c r="B67" s="1" t="n">
        <v>45562</v>
      </c>
      <c r="C67" s="1" t="n">
        <v>46003</v>
      </c>
      <c r="D67" t="inlineStr">
        <is>
          <t>STOCKHOLMS LÄN</t>
        </is>
      </c>
      <c r="E67" t="inlineStr">
        <is>
          <t>SÖDERTÄLJE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46003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27970-2022</t>
        </is>
      </c>
      <c r="B69" s="1" t="n">
        <v>44744</v>
      </c>
      <c r="C69" s="1" t="n">
        <v>46003</v>
      </c>
      <c r="D69" t="inlineStr">
        <is>
          <t>STOCKHOLMS LÄN</t>
        </is>
      </c>
      <c r="E69" t="inlineStr">
        <is>
          <t>SÖDERTÄLJE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27972-2022</t>
        </is>
      </c>
      <c r="B70" s="1" t="n">
        <v>44744</v>
      </c>
      <c r="C70" s="1" t="n">
        <v>46003</v>
      </c>
      <c r="D70" t="inlineStr">
        <is>
          <t>STOCKHOLMS LÄN</t>
        </is>
      </c>
      <c r="E70" t="inlineStr">
        <is>
          <t>SÖDERTÄLJE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46003</v>
      </c>
      <c r="D71" t="inlineStr">
        <is>
          <t>STOCKHOLMS LÄN</t>
        </is>
      </c>
      <c r="E71" t="inlineStr">
        <is>
          <t>SÖDERTÄLJE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46003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18592-2023</t>
        </is>
      </c>
      <c r="B73" s="1" t="n">
        <v>45043</v>
      </c>
      <c r="C73" s="1" t="n">
        <v>46003</v>
      </c>
      <c r="D73" t="inlineStr">
        <is>
          <t>STOCKHOLMS LÄN</t>
        </is>
      </c>
      <c r="E73" t="inlineStr">
        <is>
          <t>SÖDERTÄLJE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4443-2023</t>
        </is>
      </c>
      <c r="B74" s="1" t="n">
        <v>44956.45393518519</v>
      </c>
      <c r="C74" s="1" t="n">
        <v>46003</v>
      </c>
      <c r="D74" t="inlineStr">
        <is>
          <t>STOCKHOLMS LÄN</t>
        </is>
      </c>
      <c r="E74" t="inlineStr">
        <is>
          <t>SÖDERTÄLJE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27969-2022</t>
        </is>
      </c>
      <c r="B75" s="1" t="n">
        <v>44744</v>
      </c>
      <c r="C75" s="1" t="n">
        <v>46003</v>
      </c>
      <c r="D75" t="inlineStr">
        <is>
          <t>STOCKHOLMS LÄN</t>
        </is>
      </c>
      <c r="E75" t="inlineStr">
        <is>
          <t>SÖDERTÄLJE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28502-2023</t>
        </is>
      </c>
      <c r="B76" s="1" t="n">
        <v>45103</v>
      </c>
      <c r="C76" s="1" t="n">
        <v>46003</v>
      </c>
      <c r="D76" t="inlineStr">
        <is>
          <t>STOCKHOLMS LÄN</t>
        </is>
      </c>
      <c r="E76" t="inlineStr">
        <is>
          <t>SÖDERTÄLJE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46003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35145-2023</t>
        </is>
      </c>
      <c r="B78" s="1" t="n">
        <v>45145</v>
      </c>
      <c r="C78" s="1" t="n">
        <v>46003</v>
      </c>
      <c r="D78" t="inlineStr">
        <is>
          <t>STOCKHOLMS LÄN</t>
        </is>
      </c>
      <c r="E78" t="inlineStr">
        <is>
          <t>SÖDERTÄLJE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8320-2025</t>
        </is>
      </c>
      <c r="B79" s="1" t="n">
        <v>45708.62876157407</v>
      </c>
      <c r="C79" s="1" t="n">
        <v>46003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9562-2025</t>
        </is>
      </c>
      <c r="B80" s="1" t="n">
        <v>45715.61215277778</v>
      </c>
      <c r="C80" s="1" t="n">
        <v>46003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46003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3108-2024</t>
        </is>
      </c>
      <c r="B82" s="1" t="n">
        <v>45316</v>
      </c>
      <c r="C82" s="1" t="n">
        <v>46003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62320-2023</t>
        </is>
      </c>
      <c r="B83" s="1" t="n">
        <v>45267</v>
      </c>
      <c r="C83" s="1" t="n">
        <v>46003</v>
      </c>
      <c r="D83" t="inlineStr">
        <is>
          <t>STOCKHOLMS LÄN</t>
        </is>
      </c>
      <c r="E83" t="inlineStr">
        <is>
          <t>SÖDERTÄLJE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52815-2023</t>
        </is>
      </c>
      <c r="B84" s="1" t="n">
        <v>45226</v>
      </c>
      <c r="C84" s="1" t="n">
        <v>46003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45184-2022</t>
        </is>
      </c>
      <c r="B85" s="1" t="n">
        <v>44844.39888888889</v>
      </c>
      <c r="C85" s="1" t="n">
        <v>46003</v>
      </c>
      <c r="D85" t="inlineStr">
        <is>
          <t>STOCKHOLMS LÄN</t>
        </is>
      </c>
      <c r="E85" t="inlineStr">
        <is>
          <t>SÖDERTÄLJE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56596-2023</t>
        </is>
      </c>
      <c r="B86" s="1" t="n">
        <v>45243</v>
      </c>
      <c r="C86" s="1" t="n">
        <v>46003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45674-2021</t>
        </is>
      </c>
      <c r="B87" s="1" t="n">
        <v>44441</v>
      </c>
      <c r="C87" s="1" t="n">
        <v>46003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3382-2024</t>
        </is>
      </c>
      <c r="B88" s="1" t="n">
        <v>45317</v>
      </c>
      <c r="C88" s="1" t="n">
        <v>46003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1759-2025</t>
        </is>
      </c>
      <c r="B89" s="1" t="n">
        <v>45671.42385416666</v>
      </c>
      <c r="C89" s="1" t="n">
        <v>46003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1016-2022</t>
        </is>
      </c>
      <c r="B90" s="1" t="n">
        <v>44571</v>
      </c>
      <c r="C90" s="1" t="n">
        <v>46003</v>
      </c>
      <c r="D90" t="inlineStr">
        <is>
          <t>STOCKHOLMS LÄN</t>
        </is>
      </c>
      <c r="E90" t="inlineStr">
        <is>
          <t>SÖDERTÄLJE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32044-2023</t>
        </is>
      </c>
      <c r="B91" s="1" t="n">
        <v>45119</v>
      </c>
      <c r="C91" s="1" t="n">
        <v>46003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51931-2023</t>
        </is>
      </c>
      <c r="B92" s="1" t="n">
        <v>45216</v>
      </c>
      <c r="C92" s="1" t="n">
        <v>46003</v>
      </c>
      <c r="D92" t="inlineStr">
        <is>
          <t>STOCKHOLMS LÄN</t>
        </is>
      </c>
      <c r="E92" t="inlineStr">
        <is>
          <t>SÖDERTÄLJE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26909-2024</t>
        </is>
      </c>
      <c r="B93" s="1" t="n">
        <v>45470</v>
      </c>
      <c r="C93" s="1" t="n">
        <v>46003</v>
      </c>
      <c r="D93" t="inlineStr">
        <is>
          <t>STOCKHOLMS LÄN</t>
        </is>
      </c>
      <c r="E93" t="inlineStr">
        <is>
          <t>SÖDERTÄLJE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35113-2023</t>
        </is>
      </c>
      <c r="B94" s="1" t="n">
        <v>45145</v>
      </c>
      <c r="C94" s="1" t="n">
        <v>46003</v>
      </c>
      <c r="D94" t="inlineStr">
        <is>
          <t>STOCKHOLMS LÄN</t>
        </is>
      </c>
      <c r="E94" t="inlineStr">
        <is>
          <t>SÖDERTÄLJE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55940-2023</t>
        </is>
      </c>
      <c r="B95" s="1" t="n">
        <v>45240.30215277777</v>
      </c>
      <c r="C95" s="1" t="n">
        <v>46003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36886-2023</t>
        </is>
      </c>
      <c r="B96" s="1" t="n">
        <v>45154</v>
      </c>
      <c r="C96" s="1" t="n">
        <v>46003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46003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49956-2022</t>
        </is>
      </c>
      <c r="B98" s="1" t="n">
        <v>44865.37130787037</v>
      </c>
      <c r="C98" s="1" t="n">
        <v>46003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954-2023</t>
        </is>
      </c>
      <c r="B99" s="1" t="n">
        <v>44934.7921875</v>
      </c>
      <c r="C99" s="1" t="n">
        <v>46003</v>
      </c>
      <c r="D99" t="inlineStr">
        <is>
          <t>STOCKHOLMS LÄN</t>
        </is>
      </c>
      <c r="E99" t="inlineStr">
        <is>
          <t>SÖDERTÄLJE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8316-2025</t>
        </is>
      </c>
      <c r="B100" s="1" t="n">
        <v>45708.6225462963</v>
      </c>
      <c r="C100" s="1" t="n">
        <v>46003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46003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10263-2025</t>
        </is>
      </c>
      <c r="B102" s="1" t="n">
        <v>45720.38165509259</v>
      </c>
      <c r="C102" s="1" t="n">
        <v>46003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10277-2025</t>
        </is>
      </c>
      <c r="B103" s="1" t="n">
        <v>45720.39836805555</v>
      </c>
      <c r="C103" s="1" t="n">
        <v>46003</v>
      </c>
      <c r="D103" t="inlineStr">
        <is>
          <t>STOCKHOLMS LÄN</t>
        </is>
      </c>
      <c r="E103" t="inlineStr">
        <is>
          <t>SÖDERTÄLJE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16615-2024</t>
        </is>
      </c>
      <c r="B104" s="1" t="n">
        <v>45408</v>
      </c>
      <c r="C104" s="1" t="n">
        <v>46003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58140-2023</t>
        </is>
      </c>
      <c r="B105" s="1" t="n">
        <v>45250</v>
      </c>
      <c r="C105" s="1" t="n">
        <v>46003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4440-2023</t>
        </is>
      </c>
      <c r="B106" s="1" t="n">
        <v>44956</v>
      </c>
      <c r="C106" s="1" t="n">
        <v>46003</v>
      </c>
      <c r="D106" t="inlineStr">
        <is>
          <t>STOCKHOLMS LÄN</t>
        </is>
      </c>
      <c r="E106" t="inlineStr">
        <is>
          <t>SÖDERTÄLJE</t>
        </is>
      </c>
      <c r="G106" t="n">
        <v>18.4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22-2024</t>
        </is>
      </c>
      <c r="B107" s="1" t="n">
        <v>45293.40865740741</v>
      </c>
      <c r="C107" s="1" t="n">
        <v>46003</v>
      </c>
      <c r="D107" t="inlineStr">
        <is>
          <t>STOCKHOLMS LÄN</t>
        </is>
      </c>
      <c r="E107" t="inlineStr">
        <is>
          <t>SÖDERTÄLJE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37844-2022</t>
        </is>
      </c>
      <c r="B108" s="1" t="n">
        <v>44810</v>
      </c>
      <c r="C108" s="1" t="n">
        <v>46003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26812-2022</t>
        </is>
      </c>
      <c r="B109" s="1" t="n">
        <v>44740</v>
      </c>
      <c r="C109" s="1" t="n">
        <v>46003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10280-2025</t>
        </is>
      </c>
      <c r="B110" s="1" t="n">
        <v>45720.40354166667</v>
      </c>
      <c r="C110" s="1" t="n">
        <v>46003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62311-2023</t>
        </is>
      </c>
      <c r="B111" s="1" t="n">
        <v>45266</v>
      </c>
      <c r="C111" s="1" t="n">
        <v>46003</v>
      </c>
      <c r="D111" t="inlineStr">
        <is>
          <t>STOCKHOLMS LÄN</t>
        </is>
      </c>
      <c r="E111" t="inlineStr">
        <is>
          <t>SÖDERTÄLJE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23367-2024</t>
        </is>
      </c>
      <c r="B112" s="1" t="n">
        <v>45453</v>
      </c>
      <c r="C112" s="1" t="n">
        <v>46003</v>
      </c>
      <c r="D112" t="inlineStr">
        <is>
          <t>STOCKHOLMS LÄN</t>
        </is>
      </c>
      <c r="E112" t="inlineStr">
        <is>
          <t>SÖDERTÄLJE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56354-2023</t>
        </is>
      </c>
      <c r="B113" s="1" t="n">
        <v>45243</v>
      </c>
      <c r="C113" s="1" t="n">
        <v>46003</v>
      </c>
      <c r="D113" t="inlineStr">
        <is>
          <t>STOCKHOLMS LÄN</t>
        </is>
      </c>
      <c r="E113" t="inlineStr">
        <is>
          <t>SÖDERTÄLJE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8611-2023</t>
        </is>
      </c>
      <c r="B114" s="1" t="n">
        <v>44977</v>
      </c>
      <c r="C114" s="1" t="n">
        <v>46003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47714-2023</t>
        </is>
      </c>
      <c r="B115" s="1" t="n">
        <v>45198</v>
      </c>
      <c r="C115" s="1" t="n">
        <v>46003</v>
      </c>
      <c r="D115" t="inlineStr">
        <is>
          <t>STOCKHOLMS LÄN</t>
        </is>
      </c>
      <c r="E115" t="inlineStr">
        <is>
          <t>SÖDERTÄLJE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60635-2024</t>
        </is>
      </c>
      <c r="B116" s="1" t="n">
        <v>45644.41744212963</v>
      </c>
      <c r="C116" s="1" t="n">
        <v>46003</v>
      </c>
      <c r="D116" t="inlineStr">
        <is>
          <t>STOCKHOLMS LÄN</t>
        </is>
      </c>
      <c r="E116" t="inlineStr">
        <is>
          <t>SÖDERTÄLJE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3383-2024</t>
        </is>
      </c>
      <c r="B117" s="1" t="n">
        <v>45317</v>
      </c>
      <c r="C117" s="1" t="n">
        <v>46003</v>
      </c>
      <c r="D117" t="inlineStr">
        <is>
          <t>STOCKHOLMS LÄN</t>
        </is>
      </c>
      <c r="E117" t="inlineStr">
        <is>
          <t>SÖDERTÄLJE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35942-2022</t>
        </is>
      </c>
      <c r="B118" s="1" t="n">
        <v>44802</v>
      </c>
      <c r="C118" s="1" t="n">
        <v>46003</v>
      </c>
      <c r="D118" t="inlineStr">
        <is>
          <t>STOCKHOLMS LÄN</t>
        </is>
      </c>
      <c r="E118" t="inlineStr">
        <is>
          <t>SÖDERTÄLJE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20091-2025</t>
        </is>
      </c>
      <c r="B119" s="1" t="n">
        <v>45771</v>
      </c>
      <c r="C119" s="1" t="n">
        <v>46003</v>
      </c>
      <c r="D119" t="inlineStr">
        <is>
          <t>STOCKHOLMS LÄN</t>
        </is>
      </c>
      <c r="E119" t="inlineStr">
        <is>
          <t>SÖDERTÄLJE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51082-2024</t>
        </is>
      </c>
      <c r="B120" s="1" t="n">
        <v>45603.46126157408</v>
      </c>
      <c r="C120" s="1" t="n">
        <v>46003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45145-2022</t>
        </is>
      </c>
      <c r="B121" s="1" t="n">
        <v>44844</v>
      </c>
      <c r="C121" s="1" t="n">
        <v>46003</v>
      </c>
      <c r="D121" t="inlineStr">
        <is>
          <t>STOCKHOLMS LÄN</t>
        </is>
      </c>
      <c r="E121" t="inlineStr">
        <is>
          <t>SÖDERTÄLJE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9891-2025</t>
        </is>
      </c>
      <c r="B122" s="1" t="n">
        <v>45716.70479166666</v>
      </c>
      <c r="C122" s="1" t="n">
        <v>46003</v>
      </c>
      <c r="D122" t="inlineStr">
        <is>
          <t>STOCKHOLMS LÄN</t>
        </is>
      </c>
      <c r="E122" t="inlineStr">
        <is>
          <t>SÖDERTÄLJE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46003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46003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46003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72218-2021</t>
        </is>
      </c>
      <c r="B126" s="1" t="n">
        <v>44544.76424768518</v>
      </c>
      <c r="C126" s="1" t="n">
        <v>46003</v>
      </c>
      <c r="D126" t="inlineStr">
        <is>
          <t>STOCKHOLMS LÄN</t>
        </is>
      </c>
      <c r="E126" t="inlineStr">
        <is>
          <t>SÖDERTÄLJE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314-2022</t>
        </is>
      </c>
      <c r="B127" s="1" t="n">
        <v>44564</v>
      </c>
      <c r="C127" s="1" t="n">
        <v>46003</v>
      </c>
      <c r="D127" t="inlineStr">
        <is>
          <t>STOCKHOLMS LÄN</t>
        </is>
      </c>
      <c r="E127" t="inlineStr">
        <is>
          <t>SÖDERTÄLJE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46003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51087-2023</t>
        </is>
      </c>
      <c r="B129" s="1" t="n">
        <v>45218.73296296296</v>
      </c>
      <c r="C129" s="1" t="n">
        <v>46003</v>
      </c>
      <c r="D129" t="inlineStr">
        <is>
          <t>STOCKHOLMS LÄN</t>
        </is>
      </c>
      <c r="E129" t="inlineStr">
        <is>
          <t>SÖDERTÄLJE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31375-2024</t>
        </is>
      </c>
      <c r="B130" s="1" t="n">
        <v>45505</v>
      </c>
      <c r="C130" s="1" t="n">
        <v>46003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34193-2024</t>
        </is>
      </c>
      <c r="B131" s="1" t="n">
        <v>45524.46203703704</v>
      </c>
      <c r="C131" s="1" t="n">
        <v>46003</v>
      </c>
      <c r="D131" t="inlineStr">
        <is>
          <t>STOCKHOLMS LÄN</t>
        </is>
      </c>
      <c r="E131" t="inlineStr">
        <is>
          <t>SÖDERTÄLJE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37536-2024</t>
        </is>
      </c>
      <c r="B132" s="1" t="n">
        <v>45541</v>
      </c>
      <c r="C132" s="1" t="n">
        <v>46003</v>
      </c>
      <c r="D132" t="inlineStr">
        <is>
          <t>STOCKHOLMS LÄN</t>
        </is>
      </c>
      <c r="E132" t="inlineStr">
        <is>
          <t>SÖDERTÄLJE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44445.63403935185</v>
      </c>
      <c r="C133" s="1" t="n">
        <v>46003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46003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46003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48820-2022</t>
        </is>
      </c>
      <c r="B136" s="1" t="n">
        <v>44859</v>
      </c>
      <c r="C136" s="1" t="n">
        <v>46003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46003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6886-2022</t>
        </is>
      </c>
      <c r="B138" s="1" t="n">
        <v>44602</v>
      </c>
      <c r="C138" s="1" t="n">
        <v>46003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16724-2022</t>
        </is>
      </c>
      <c r="B139" s="1" t="n">
        <v>44673</v>
      </c>
      <c r="C139" s="1" t="n">
        <v>46003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46003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57884-2021</t>
        </is>
      </c>
      <c r="B141" s="1" t="n">
        <v>44485</v>
      </c>
      <c r="C141" s="1" t="n">
        <v>46003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16520-2025</t>
        </is>
      </c>
      <c r="B142" s="1" t="n">
        <v>45751.63434027778</v>
      </c>
      <c r="C142" s="1" t="n">
        <v>46003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33892-2022</t>
        </is>
      </c>
      <c r="B143" s="1" t="n">
        <v>44790.60921296296</v>
      </c>
      <c r="C143" s="1" t="n">
        <v>46003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28981-2023</t>
        </is>
      </c>
      <c r="B144" s="1" t="n">
        <v>45104</v>
      </c>
      <c r="C144" s="1" t="n">
        <v>46003</v>
      </c>
      <c r="D144" t="inlineStr">
        <is>
          <t>STOCKHOLMS LÄN</t>
        </is>
      </c>
      <c r="E144" t="inlineStr">
        <is>
          <t>SÖDERTÄLJE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42337-2024</t>
        </is>
      </c>
      <c r="B145" s="1" t="n">
        <v>45562</v>
      </c>
      <c r="C145" s="1" t="n">
        <v>46003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Övriga statliga verk och myndigheter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35906-2022</t>
        </is>
      </c>
      <c r="B146" s="1" t="n">
        <v>44802</v>
      </c>
      <c r="C146" s="1" t="n">
        <v>46003</v>
      </c>
      <c r="D146" t="inlineStr">
        <is>
          <t>STOCKHOLMS LÄN</t>
        </is>
      </c>
      <c r="E146" t="inlineStr">
        <is>
          <t>SÖDERTÄLJE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11319-2024</t>
        </is>
      </c>
      <c r="B147" s="1" t="n">
        <v>45371.91613425926</v>
      </c>
      <c r="C147" s="1" t="n">
        <v>46003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50059-2021</t>
        </is>
      </c>
      <c r="B148" s="1" t="n">
        <v>44455</v>
      </c>
      <c r="C148" s="1" t="n">
        <v>46003</v>
      </c>
      <c r="D148" t="inlineStr">
        <is>
          <t>STOCKHOLMS LÄN</t>
        </is>
      </c>
      <c r="E148" t="inlineStr">
        <is>
          <t>SÖDERTÄLJE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46003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24034-2022</t>
        </is>
      </c>
      <c r="B150" s="1" t="n">
        <v>44724</v>
      </c>
      <c r="C150" s="1" t="n">
        <v>46003</v>
      </c>
      <c r="D150" t="inlineStr">
        <is>
          <t>STOCKHOLMS LÄN</t>
        </is>
      </c>
      <c r="E150" t="inlineStr">
        <is>
          <t>SÖDERTÄLJE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55941-2023</t>
        </is>
      </c>
      <c r="B151" s="1" t="n">
        <v>45240</v>
      </c>
      <c r="C151" s="1" t="n">
        <v>46003</v>
      </c>
      <c r="D151" t="inlineStr">
        <is>
          <t>STOCKHOLMS LÄN</t>
        </is>
      </c>
      <c r="E151" t="inlineStr">
        <is>
          <t>SÖDERTÄLJE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46003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17979-2024</t>
        </is>
      </c>
      <c r="B153" s="1" t="n">
        <v>45419.86915509259</v>
      </c>
      <c r="C153" s="1" t="n">
        <v>46003</v>
      </c>
      <c r="D153" t="inlineStr">
        <is>
          <t>STOCKHOLMS LÄN</t>
        </is>
      </c>
      <c r="E153" t="inlineStr">
        <is>
          <t>SÖDERTÄLJE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46003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46003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46003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41702-2025</t>
        </is>
      </c>
      <c r="B157" s="1" t="n">
        <v>45902.41623842593</v>
      </c>
      <c r="C157" s="1" t="n">
        <v>46003</v>
      </c>
      <c r="D157" t="inlineStr">
        <is>
          <t>STOCKHOLMS LÄN</t>
        </is>
      </c>
      <c r="E157" t="inlineStr">
        <is>
          <t>SÖDERTÄLJE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47977-2022</t>
        </is>
      </c>
      <c r="B158" s="1" t="n">
        <v>44855</v>
      </c>
      <c r="C158" s="1" t="n">
        <v>46003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19210-2024</t>
        </is>
      </c>
      <c r="B159" s="1" t="n">
        <v>45428.54665509259</v>
      </c>
      <c r="C159" s="1" t="n">
        <v>46003</v>
      </c>
      <c r="D159" t="inlineStr">
        <is>
          <t>STOCKHOLMS LÄN</t>
        </is>
      </c>
      <c r="E159" t="inlineStr">
        <is>
          <t>SÖDERTÄLJE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27771-2021</t>
        </is>
      </c>
      <c r="B160" s="1" t="n">
        <v>44354</v>
      </c>
      <c r="C160" s="1" t="n">
        <v>46003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46671-2021</t>
        </is>
      </c>
      <c r="B161" s="1" t="n">
        <v>44445</v>
      </c>
      <c r="C161" s="1" t="n">
        <v>46003</v>
      </c>
      <c r="D161" t="inlineStr">
        <is>
          <t>STOCKHOLMS LÄN</t>
        </is>
      </c>
      <c r="E161" t="inlineStr">
        <is>
          <t>SÖDERTÄLJE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41111-2023</t>
        </is>
      </c>
      <c r="B162" s="1" t="n">
        <v>45173.74025462963</v>
      </c>
      <c r="C162" s="1" t="n">
        <v>46003</v>
      </c>
      <c r="D162" t="inlineStr">
        <is>
          <t>STOCKHOLMS LÄN</t>
        </is>
      </c>
      <c r="E162" t="inlineStr">
        <is>
          <t>SÖDERTÄLJE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41115-2023</t>
        </is>
      </c>
      <c r="B163" s="1" t="n">
        <v>45173</v>
      </c>
      <c r="C163" s="1" t="n">
        <v>46003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37842-2022</t>
        </is>
      </c>
      <c r="B164" s="1" t="n">
        <v>44810</v>
      </c>
      <c r="C164" s="1" t="n">
        <v>46003</v>
      </c>
      <c r="D164" t="inlineStr">
        <is>
          <t>STOCKHOLMS LÄN</t>
        </is>
      </c>
      <c r="E164" t="inlineStr">
        <is>
          <t>SÖDERTÄLJE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31212-2024</t>
        </is>
      </c>
      <c r="B165" s="1" t="n">
        <v>45503</v>
      </c>
      <c r="C165" s="1" t="n">
        <v>46003</v>
      </c>
      <c r="D165" t="inlineStr">
        <is>
          <t>STOCKHOLMS LÄN</t>
        </is>
      </c>
      <c r="E165" t="inlineStr">
        <is>
          <t>SÖDERTÄLJE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52101-2022</t>
        </is>
      </c>
      <c r="B166" s="1" t="n">
        <v>44873</v>
      </c>
      <c r="C166" s="1" t="n">
        <v>46003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35200-2023</t>
        </is>
      </c>
      <c r="B167" s="1" t="n">
        <v>45145</v>
      </c>
      <c r="C167" s="1" t="n">
        <v>46003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3585-2022</t>
        </is>
      </c>
      <c r="B168" s="1" t="n">
        <v>44586</v>
      </c>
      <c r="C168" s="1" t="n">
        <v>46003</v>
      </c>
      <c r="D168" t="inlineStr">
        <is>
          <t>STOCKHOLMS LÄN</t>
        </is>
      </c>
      <c r="E168" t="inlineStr">
        <is>
          <t>SÖDERTÄLJE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25706-2023</t>
        </is>
      </c>
      <c r="B169" s="1" t="n">
        <v>45090</v>
      </c>
      <c r="C169" s="1" t="n">
        <v>46003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12907-2024</t>
        </is>
      </c>
      <c r="B170" s="1" t="n">
        <v>45385</v>
      </c>
      <c r="C170" s="1" t="n">
        <v>46003</v>
      </c>
      <c r="D170" t="inlineStr">
        <is>
          <t>STOCKHOLMS LÄN</t>
        </is>
      </c>
      <c r="E170" t="inlineStr">
        <is>
          <t>SÖDERTÄLJE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34194-2024</t>
        </is>
      </c>
      <c r="B171" s="1" t="n">
        <v>45524</v>
      </c>
      <c r="C171" s="1" t="n">
        <v>46003</v>
      </c>
      <c r="D171" t="inlineStr">
        <is>
          <t>STOCKHOLMS LÄN</t>
        </is>
      </c>
      <c r="E171" t="inlineStr">
        <is>
          <t>SÖDERTÄLJE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46003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46003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8323-2025</t>
        </is>
      </c>
      <c r="B174" s="1" t="n">
        <v>45708.6322337963</v>
      </c>
      <c r="C174" s="1" t="n">
        <v>46003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51353-2024</t>
        </is>
      </c>
      <c r="B175" s="1" t="n">
        <v>45604.36140046296</v>
      </c>
      <c r="C175" s="1" t="n">
        <v>46003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55532-2025</t>
        </is>
      </c>
      <c r="B176" s="1" t="n">
        <v>45971.62462962963</v>
      </c>
      <c r="C176" s="1" t="n">
        <v>46003</v>
      </c>
      <c r="D176" t="inlineStr">
        <is>
          <t>STOCKHOLMS LÄN</t>
        </is>
      </c>
      <c r="E176" t="inlineStr">
        <is>
          <t>SÖDERTÄLJE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25415-2025</t>
        </is>
      </c>
      <c r="B177" s="1" t="n">
        <v>45799</v>
      </c>
      <c r="C177" s="1" t="n">
        <v>46003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25396-2025</t>
        </is>
      </c>
      <c r="B178" s="1" t="n">
        <v>45799</v>
      </c>
      <c r="C178" s="1" t="n">
        <v>46003</v>
      </c>
      <c r="D178" t="inlineStr">
        <is>
          <t>STOCKHOLMS LÄN</t>
        </is>
      </c>
      <c r="E178" t="inlineStr">
        <is>
          <t>SÖDERTÄLJE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25412-2025</t>
        </is>
      </c>
      <c r="B179" s="1" t="n">
        <v>45799</v>
      </c>
      <c r="C179" s="1" t="n">
        <v>46003</v>
      </c>
      <c r="D179" t="inlineStr">
        <is>
          <t>STOCKHOLMS LÄN</t>
        </is>
      </c>
      <c r="E179" t="inlineStr">
        <is>
          <t>SÖDERTÄLJE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25414-2025</t>
        </is>
      </c>
      <c r="B180" s="1" t="n">
        <v>45799</v>
      </c>
      <c r="C180" s="1" t="n">
        <v>46003</v>
      </c>
      <c r="D180" t="inlineStr">
        <is>
          <t>STOCKHOLMS LÄN</t>
        </is>
      </c>
      <c r="E180" t="inlineStr">
        <is>
          <t>SÖDERTÄLJE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48046-2025</t>
        </is>
      </c>
      <c r="B181" s="1" t="n">
        <v>45932.67148148148</v>
      </c>
      <c r="C181" s="1" t="n">
        <v>46003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48342-2025</t>
        </is>
      </c>
      <c r="B182" s="1" t="n">
        <v>45933</v>
      </c>
      <c r="C182" s="1" t="n">
        <v>46003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statliga verk och myndigheter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28346-2025</t>
        </is>
      </c>
      <c r="B183" s="1" t="n">
        <v>45818.70325231482</v>
      </c>
      <c r="C183" s="1" t="n">
        <v>46003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29336-2025</t>
        </is>
      </c>
      <c r="B184" s="1" t="n">
        <v>45824.49658564815</v>
      </c>
      <c r="C184" s="1" t="n">
        <v>46003</v>
      </c>
      <c r="D184" t="inlineStr">
        <is>
          <t>STOCKHOLMS LÄN</t>
        </is>
      </c>
      <c r="E184" t="inlineStr">
        <is>
          <t>SÖDERTÄLJE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29770-2025</t>
        </is>
      </c>
      <c r="B185" s="1" t="n">
        <v>45825.62880787037</v>
      </c>
      <c r="C185" s="1" t="n">
        <v>46003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31086-2025</t>
        </is>
      </c>
      <c r="B186" s="1" t="n">
        <v>45832.59052083334</v>
      </c>
      <c r="C186" s="1" t="n">
        <v>46003</v>
      </c>
      <c r="D186" t="inlineStr">
        <is>
          <t>STOCKHOLMS LÄN</t>
        </is>
      </c>
      <c r="E186" t="inlineStr">
        <is>
          <t>SÖDERTÄLJE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54448-2025</t>
        </is>
      </c>
      <c r="B187" s="1" t="n">
        <v>45965</v>
      </c>
      <c r="C187" s="1" t="n">
        <v>46003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61735-2025</t>
        </is>
      </c>
      <c r="B188" s="1" t="n">
        <v>46002.594375</v>
      </c>
      <c r="C188" s="1" t="n">
        <v>46003</v>
      </c>
      <c r="D188" t="inlineStr">
        <is>
          <t>STOCKHOLMS LÄN</t>
        </is>
      </c>
      <c r="E188" t="inlineStr">
        <is>
          <t>SÖDERTÄLJE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60897-2025</t>
        </is>
      </c>
      <c r="B189" s="1" t="n">
        <v>45999.58038194444</v>
      </c>
      <c r="C189" s="1" t="n">
        <v>46003</v>
      </c>
      <c r="D189" t="inlineStr">
        <is>
          <t>STOCKHOLMS LÄN</t>
        </is>
      </c>
      <c r="E189" t="inlineStr">
        <is>
          <t>SÖDERTÄLJE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38194-2025</t>
        </is>
      </c>
      <c r="B190" s="1" t="n">
        <v>45882.65921296296</v>
      </c>
      <c r="C190" s="1" t="n">
        <v>46003</v>
      </c>
      <c r="D190" t="inlineStr">
        <is>
          <t>STOCKHOLMS LÄN</t>
        </is>
      </c>
      <c r="E190" t="inlineStr">
        <is>
          <t>SÖDERTÄLJE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2025-12-12T10:28:23Z</dcterms:created>
  <dcterms:modified xmlns:dcterms="http://purl.org/dc/terms/" xmlns:xsi="http://www.w3.org/2001/XMLSchema-instance" xsi:type="dcterms:W3CDTF">2025-12-12T10:28:23Z</dcterms:modified>
</cp:coreProperties>
</file>