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45989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45989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45989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45989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45989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45989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45989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45989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45989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45989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45989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12968-2024</t>
        </is>
      </c>
      <c r="B24" s="1" t="n">
        <v>45385.50599537037</v>
      </c>
      <c r="C24" s="1" t="n">
        <v>45989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HYPERLINK("https://klasma.github.io/Logging_0181/artfynd/A 12968-2024 artfynd.xlsx", "A 12968-2024")</f>
        <v/>
      </c>
      <c r="T24">
        <f>HYPERLINK("https://klasma.github.io/Logging_0181/kartor/A 12968-2024 karta.png", "A 12968-2024")</f>
        <v/>
      </c>
      <c r="V24">
        <f>HYPERLINK("https://klasma.github.io/Logging_0181/klagomål/A 12968-2024 FSC-klagomål.docx", "A 12968-2024")</f>
        <v/>
      </c>
      <c r="W24">
        <f>HYPERLINK("https://klasma.github.io/Logging_0181/klagomålsmail/A 12968-2024 FSC-klagomål mail.docx", "A 12968-2024")</f>
        <v/>
      </c>
      <c r="X24">
        <f>HYPERLINK("https://klasma.github.io/Logging_0181/tillsyn/A 12968-2024 tillsynsbegäran.docx", "A 12968-2024")</f>
        <v/>
      </c>
      <c r="Y24">
        <f>HYPERLINK("https://klasma.github.io/Logging_0181/tillsynsmail/A 12968-2024 tillsynsbegäran mail.docx", "A 12968-2024")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45989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45989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45989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45989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55044-2025</t>
        </is>
      </c>
      <c r="B29" s="1" t="n">
        <v>45967.66005787037</v>
      </c>
      <c r="C29" s="1" t="n">
        <v>45989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55044-2025 artfynd.xlsx", "A 55044-2025")</f>
        <v/>
      </c>
      <c r="T29">
        <f>HYPERLINK("https://klasma.github.io/Logging_0181/kartor/A 55044-2025 karta.png", "A 55044-2025")</f>
        <v/>
      </c>
      <c r="V29">
        <f>HYPERLINK("https://klasma.github.io/Logging_0181/klagomål/A 55044-2025 FSC-klagomål.docx", "A 55044-2025")</f>
        <v/>
      </c>
      <c r="W29">
        <f>HYPERLINK("https://klasma.github.io/Logging_0181/klagomålsmail/A 55044-2025 FSC-klagomål mail.docx", "A 55044-2025")</f>
        <v/>
      </c>
      <c r="X29">
        <f>HYPERLINK("https://klasma.github.io/Logging_0181/tillsyn/A 55044-2025 tillsynsbegäran.docx", "A 55044-2025")</f>
        <v/>
      </c>
      <c r="Y29">
        <f>HYPERLINK("https://klasma.github.io/Logging_0181/tillsynsmail/A 55044-2025 tillsynsbegäran mail.docx", "A 55044-2025")</f>
        <v/>
      </c>
      <c r="Z29">
        <f>HYPERLINK("https://klasma.github.io/Logging_0181/fåglar/A 55044-2025 prioriterade fågelarter.docx", "A 55044-2025")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45989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45989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49850-2025</t>
        </is>
      </c>
      <c r="B32" s="1" t="n">
        <v>45940.48542824074</v>
      </c>
      <c r="C32" s="1" t="n">
        <v>45989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HYPERLINK("https://klasma.github.io/Logging_0181/artfynd/A 49850-2025 artfynd.xlsx", "A 49850-2025")</f>
        <v/>
      </c>
      <c r="T32">
        <f>HYPERLINK("https://klasma.github.io/Logging_0181/kartor/A 49850-2025 karta.png", "A 49850-2025")</f>
        <v/>
      </c>
      <c r="V32">
        <f>HYPERLINK("https://klasma.github.io/Logging_0181/klagomål/A 49850-2025 FSC-klagomål.docx", "A 49850-2025")</f>
        <v/>
      </c>
      <c r="W32">
        <f>HYPERLINK("https://klasma.github.io/Logging_0181/klagomålsmail/A 49850-2025 FSC-klagomål mail.docx", "A 49850-2025")</f>
        <v/>
      </c>
      <c r="X32">
        <f>HYPERLINK("https://klasma.github.io/Logging_0181/tillsyn/A 49850-2025 tillsynsbegäran.docx", "A 49850-2025")</f>
        <v/>
      </c>
      <c r="Y32">
        <f>HYPERLINK("https://klasma.github.io/Logging_0181/tillsynsmail/A 49850-2025 tillsynsbegäran mail.docx", "A 49850-2025")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45989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45989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45989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45989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45989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45989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45989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21726-2025</t>
        </is>
      </c>
      <c r="B40" s="1" t="n">
        <v>45783.56921296296</v>
      </c>
      <c r="C40" s="1" t="n">
        <v>45989</v>
      </c>
      <c r="D40" t="inlineStr">
        <is>
          <t>STOCKHOLMS LÄN</t>
        </is>
      </c>
      <c r="E40" t="inlineStr">
        <is>
          <t>SÖDERTÄLJE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HYPERLINK("https://klasma.github.io/Logging_0181/artfynd/A 21726-2025 artfynd.xlsx", "A 21726-2025")</f>
        <v/>
      </c>
      <c r="T40">
        <f>HYPERLINK("https://klasma.github.io/Logging_0181/kartor/A 21726-2025 karta.png", "A 21726-2025")</f>
        <v/>
      </c>
      <c r="V40">
        <f>HYPERLINK("https://klasma.github.io/Logging_0181/klagomål/A 21726-2025 FSC-klagomål.docx", "A 21726-2025")</f>
        <v/>
      </c>
      <c r="W40">
        <f>HYPERLINK("https://klasma.github.io/Logging_0181/klagomålsmail/A 21726-2025 FSC-klagomål mail.docx", "A 21726-2025")</f>
        <v/>
      </c>
      <c r="X40">
        <f>HYPERLINK("https://klasma.github.io/Logging_0181/tillsyn/A 21726-2025 tillsynsbegäran.docx", "A 21726-2025")</f>
        <v/>
      </c>
      <c r="Y40">
        <f>HYPERLINK("https://klasma.github.io/Logging_0181/tillsynsmail/A 21726-2025 tillsynsbegäran mail.docx", "A 21726-2025")</f>
        <v/>
      </c>
    </row>
    <row r="41" ht="15" customHeight="1">
      <c r="A41" t="inlineStr">
        <is>
          <t>A 23772-2025</t>
        </is>
      </c>
      <c r="B41" s="1" t="n">
        <v>45793.48637731482</v>
      </c>
      <c r="C41" s="1" t="n">
        <v>45989</v>
      </c>
      <c r="D41" t="inlineStr">
        <is>
          <t>STOCKHOLMS LÄN</t>
        </is>
      </c>
      <c r="E41" t="inlineStr">
        <is>
          <t>SÖDERTÄLJE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HYPERLINK("https://klasma.github.io/Logging_0181/artfynd/A 23772-2025 artfynd.xlsx", "A 23772-2025")</f>
        <v/>
      </c>
      <c r="T41">
        <f>HYPERLINK("https://klasma.github.io/Logging_0181/kartor/A 23772-2025 karta.png", "A 23772-2025")</f>
        <v/>
      </c>
      <c r="V41">
        <f>HYPERLINK("https://klasma.github.io/Logging_0181/klagomål/A 23772-2025 FSC-klagomål.docx", "A 23772-2025")</f>
        <v/>
      </c>
      <c r="W41">
        <f>HYPERLINK("https://klasma.github.io/Logging_0181/klagomålsmail/A 23772-2025 FSC-klagomål mail.docx", "A 23772-2025")</f>
        <v/>
      </c>
      <c r="X41">
        <f>HYPERLINK("https://klasma.github.io/Logging_0181/tillsyn/A 23772-2025 tillsynsbegäran.docx", "A 23772-2025")</f>
        <v/>
      </c>
      <c r="Y41">
        <f>HYPERLINK("https://klasma.github.io/Logging_0181/tillsynsmail/A 23772-2025 tillsynsbegäran mail.docx", "A 23772-2025")</f>
        <v/>
      </c>
      <c r="Z41">
        <f>HYPERLINK("https://klasma.github.io/Logging_0181/fåglar/A 23772-2025 prioriterade fågelarter.docx", "A 23772-2025")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45989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45989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45989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45989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45989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45989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45989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45989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45989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45989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45989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45989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45989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45989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45989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45989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45989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45989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45989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45989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45989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3382-2024</t>
        </is>
      </c>
      <c r="B74" s="1" t="n">
        <v>45317</v>
      </c>
      <c r="C74" s="1" t="n">
        <v>45989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49956-2022</t>
        </is>
      </c>
      <c r="B75" s="1" t="n">
        <v>44865.37130787037</v>
      </c>
      <c r="C75" s="1" t="n">
        <v>45989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36886-2023</t>
        </is>
      </c>
      <c r="B76" s="1" t="n">
        <v>45154</v>
      </c>
      <c r="C76" s="1" t="n">
        <v>45989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95-2024</t>
        </is>
      </c>
      <c r="B77" s="1" t="n">
        <v>45293</v>
      </c>
      <c r="C77" s="1" t="n">
        <v>45989</v>
      </c>
      <c r="D77" t="inlineStr">
        <is>
          <t>STOCKHOLMS LÄN</t>
        </is>
      </c>
      <c r="E77" t="inlineStr">
        <is>
          <t>SÖDERTÄLJE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45989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45989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45989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45989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25414-2025</t>
        </is>
      </c>
      <c r="B82" s="1" t="n">
        <v>45799</v>
      </c>
      <c r="C82" s="1" t="n">
        <v>45989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23367-2024</t>
        </is>
      </c>
      <c r="B83" s="1" t="n">
        <v>45453</v>
      </c>
      <c r="C83" s="1" t="n">
        <v>45989</v>
      </c>
      <c r="D83" t="inlineStr">
        <is>
          <t>STOCKHOLMS LÄN</t>
        </is>
      </c>
      <c r="E83" t="inlineStr">
        <is>
          <t>SÖDERTÄLJE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8611-2023</t>
        </is>
      </c>
      <c r="B84" s="1" t="n">
        <v>44977</v>
      </c>
      <c r="C84" s="1" t="n">
        <v>45989</v>
      </c>
      <c r="D84" t="inlineStr">
        <is>
          <t>STOCKHOLMS LÄN</t>
        </is>
      </c>
      <c r="E84" t="inlineStr">
        <is>
          <t>SÖDERTÄLJE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47714-2023</t>
        </is>
      </c>
      <c r="B85" s="1" t="n">
        <v>45198</v>
      </c>
      <c r="C85" s="1" t="n">
        <v>45989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60635-2024</t>
        </is>
      </c>
      <c r="B86" s="1" t="n">
        <v>45644.41744212963</v>
      </c>
      <c r="C86" s="1" t="n">
        <v>45989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72218-2021</t>
        </is>
      </c>
      <c r="B87" s="1" t="n">
        <v>44544.76424768518</v>
      </c>
      <c r="C87" s="1" t="n">
        <v>45989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314-2022</t>
        </is>
      </c>
      <c r="B88" s="1" t="n">
        <v>44564</v>
      </c>
      <c r="C88" s="1" t="n">
        <v>45989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45989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31375-2024</t>
        </is>
      </c>
      <c r="B90" s="1" t="n">
        <v>45505</v>
      </c>
      <c r="C90" s="1" t="n">
        <v>45989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45989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45989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37536-2024</t>
        </is>
      </c>
      <c r="B93" s="1" t="n">
        <v>45541</v>
      </c>
      <c r="C93" s="1" t="n">
        <v>45989</v>
      </c>
      <c r="D93" t="inlineStr">
        <is>
          <t>STOCKHOLMS LÄN</t>
        </is>
      </c>
      <c r="E93" t="inlineStr">
        <is>
          <t>SÖDERTÄLJE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42339-2024</t>
        </is>
      </c>
      <c r="B94" s="1" t="n">
        <v>45562</v>
      </c>
      <c r="C94" s="1" t="n">
        <v>45989</v>
      </c>
      <c r="D94" t="inlineStr">
        <is>
          <t>STOCKHOLMS LÄN</t>
        </is>
      </c>
      <c r="E94" t="inlineStr">
        <is>
          <t>SÖDERTÄLJE</t>
        </is>
      </c>
      <c r="F94" t="inlineStr">
        <is>
          <t>Övriga statliga verk och myndigheter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45989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2529-2023</t>
        </is>
      </c>
      <c r="B96" s="1" t="n">
        <v>44943.60554398148</v>
      </c>
      <c r="C96" s="1" t="n">
        <v>45989</v>
      </c>
      <c r="D96" t="inlineStr">
        <is>
          <t>STOCKHOLMS LÄN</t>
        </is>
      </c>
      <c r="E96" t="inlineStr">
        <is>
          <t>SÖDERTÄLJE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27970-2022</t>
        </is>
      </c>
      <c r="B97" s="1" t="n">
        <v>44744</v>
      </c>
      <c r="C97" s="1" t="n">
        <v>45989</v>
      </c>
      <c r="D97" t="inlineStr">
        <is>
          <t>STOCKHOLMS LÄN</t>
        </is>
      </c>
      <c r="E97" t="inlineStr">
        <is>
          <t>SÖDERTÄLJE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27972-2022</t>
        </is>
      </c>
      <c r="B98" s="1" t="n">
        <v>44744</v>
      </c>
      <c r="C98" s="1" t="n">
        <v>45989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45989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45989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27969-2022</t>
        </is>
      </c>
      <c r="B101" s="1" t="n">
        <v>44744</v>
      </c>
      <c r="C101" s="1" t="n">
        <v>45989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57010-2024</t>
        </is>
      </c>
      <c r="B102" s="1" t="n">
        <v>45628</v>
      </c>
      <c r="C102" s="1" t="n">
        <v>45989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Kyrkan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3108-2024</t>
        </is>
      </c>
      <c r="B103" s="1" t="n">
        <v>45316</v>
      </c>
      <c r="C103" s="1" t="n">
        <v>45989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45184-2022</t>
        </is>
      </c>
      <c r="B104" s="1" t="n">
        <v>44844.39888888889</v>
      </c>
      <c r="C104" s="1" t="n">
        <v>45989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45674-2021</t>
        </is>
      </c>
      <c r="B105" s="1" t="n">
        <v>44441</v>
      </c>
      <c r="C105" s="1" t="n">
        <v>45989</v>
      </c>
      <c r="D105" t="inlineStr">
        <is>
          <t>STOCKHOLMS LÄN</t>
        </is>
      </c>
      <c r="E105" t="inlineStr">
        <is>
          <t>SÖDERTÄLJE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1759-2025</t>
        </is>
      </c>
      <c r="B106" s="1" t="n">
        <v>45671.42385416666</v>
      </c>
      <c r="C106" s="1" t="n">
        <v>45989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1016-2022</t>
        </is>
      </c>
      <c r="B107" s="1" t="n">
        <v>44571</v>
      </c>
      <c r="C107" s="1" t="n">
        <v>45989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45989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35113-2023</t>
        </is>
      </c>
      <c r="B109" s="1" t="n">
        <v>45145</v>
      </c>
      <c r="C109" s="1" t="n">
        <v>45989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8316-2025</t>
        </is>
      </c>
      <c r="B110" s="1" t="n">
        <v>45708.6225462963</v>
      </c>
      <c r="C110" s="1" t="n">
        <v>45989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42133-2023</t>
        </is>
      </c>
      <c r="B111" s="1" t="n">
        <v>45177.83136574074</v>
      </c>
      <c r="C111" s="1" t="n">
        <v>45989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54448-2025</t>
        </is>
      </c>
      <c r="B112" s="1" t="n">
        <v>45965</v>
      </c>
      <c r="C112" s="1" t="n">
        <v>45989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37844-2022</t>
        </is>
      </c>
      <c r="B113" s="1" t="n">
        <v>44810</v>
      </c>
      <c r="C113" s="1" t="n">
        <v>45989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55532-2025</t>
        </is>
      </c>
      <c r="B114" s="1" t="n">
        <v>45971.62462962963</v>
      </c>
      <c r="C114" s="1" t="n">
        <v>45989</v>
      </c>
      <c r="D114" t="inlineStr">
        <is>
          <t>STOCKHOLMS LÄN</t>
        </is>
      </c>
      <c r="E114" t="inlineStr">
        <is>
          <t>SÖDERTÄLJE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45989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56354-2023</t>
        </is>
      </c>
      <c r="B116" s="1" t="n">
        <v>45243</v>
      </c>
      <c r="C116" s="1" t="n">
        <v>45989</v>
      </c>
      <c r="D116" t="inlineStr">
        <is>
          <t>STOCKHOLMS LÄN</t>
        </is>
      </c>
      <c r="E116" t="inlineStr">
        <is>
          <t>SÖDERTÄLJE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48046-2025</t>
        </is>
      </c>
      <c r="B117" s="1" t="n">
        <v>45932.67148148148</v>
      </c>
      <c r="C117" s="1" t="n">
        <v>45989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45145-2022</t>
        </is>
      </c>
      <c r="B118" s="1" t="n">
        <v>44844</v>
      </c>
      <c r="C118" s="1" t="n">
        <v>45989</v>
      </c>
      <c r="D118" t="inlineStr">
        <is>
          <t>STOCKHOLMS LÄN</t>
        </is>
      </c>
      <c r="E118" t="inlineStr">
        <is>
          <t>SÖDERTÄLJE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1381-2023</t>
        </is>
      </c>
      <c r="B119" s="1" t="n">
        <v>44936.68457175926</v>
      </c>
      <c r="C119" s="1" t="n">
        <v>45989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45989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34450-2021</t>
        </is>
      </c>
      <c r="B121" s="1" t="n">
        <v>44381</v>
      </c>
      <c r="C121" s="1" t="n">
        <v>45989</v>
      </c>
      <c r="D121" t="inlineStr">
        <is>
          <t>STOCKHOLMS LÄN</t>
        </is>
      </c>
      <c r="E121" t="inlineStr">
        <is>
          <t>SÖDERTÄLJE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34193-2024</t>
        </is>
      </c>
      <c r="B122" s="1" t="n">
        <v>45524.46203703704</v>
      </c>
      <c r="C122" s="1" t="n">
        <v>45989</v>
      </c>
      <c r="D122" t="inlineStr">
        <is>
          <t>STOCKHOLMS LÄN</t>
        </is>
      </c>
      <c r="E122" t="inlineStr">
        <is>
          <t>SÖDERTÄLJE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44445.63403935185</v>
      </c>
      <c r="C123" s="1" t="n">
        <v>45989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57411-2025</t>
        </is>
      </c>
      <c r="B124" s="1" t="n">
        <v>45980.4487037037</v>
      </c>
      <c r="C124" s="1" t="n">
        <v>45989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6886-2022</t>
        </is>
      </c>
      <c r="B125" s="1" t="n">
        <v>44602</v>
      </c>
      <c r="C125" s="1" t="n">
        <v>45989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487-2024</t>
        </is>
      </c>
      <c r="B126" s="1" t="n">
        <v>45298.85216435185</v>
      </c>
      <c r="C126" s="1" t="n">
        <v>45989</v>
      </c>
      <c r="D126" t="inlineStr">
        <is>
          <t>STOCKHOLMS LÄN</t>
        </is>
      </c>
      <c r="E126" t="inlineStr">
        <is>
          <t>SÖDERTÄLJE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57884-2021</t>
        </is>
      </c>
      <c r="B127" s="1" t="n">
        <v>44485</v>
      </c>
      <c r="C127" s="1" t="n">
        <v>45989</v>
      </c>
      <c r="D127" t="inlineStr">
        <is>
          <t>STOCKHOLMS LÄN</t>
        </is>
      </c>
      <c r="E127" t="inlineStr">
        <is>
          <t>SÖDERTÄLJE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16520-2025</t>
        </is>
      </c>
      <c r="B128" s="1" t="n">
        <v>45751.63434027778</v>
      </c>
      <c r="C128" s="1" t="n">
        <v>45989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28981-2023</t>
        </is>
      </c>
      <c r="B129" s="1" t="n">
        <v>45104</v>
      </c>
      <c r="C129" s="1" t="n">
        <v>45989</v>
      </c>
      <c r="D129" t="inlineStr">
        <is>
          <t>STOCKHOLMS LÄN</t>
        </is>
      </c>
      <c r="E129" t="inlineStr">
        <is>
          <t>SÖDERTÄLJE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50059-2021</t>
        </is>
      </c>
      <c r="B130" s="1" t="n">
        <v>44455</v>
      </c>
      <c r="C130" s="1" t="n">
        <v>45989</v>
      </c>
      <c r="D130" t="inlineStr">
        <is>
          <t>STOCKHOLMS LÄN</t>
        </is>
      </c>
      <c r="E130" t="inlineStr">
        <is>
          <t>SÖDERTÄLJE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11343-2025</t>
        </is>
      </c>
      <c r="B131" s="1" t="n">
        <v>45726.49932870371</v>
      </c>
      <c r="C131" s="1" t="n">
        <v>45989</v>
      </c>
      <c r="D131" t="inlineStr">
        <is>
          <t>STOCKHOLMS LÄN</t>
        </is>
      </c>
      <c r="E131" t="inlineStr">
        <is>
          <t>SÖDERTÄLJE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24034-2022</t>
        </is>
      </c>
      <c r="B132" s="1" t="n">
        <v>44724</v>
      </c>
      <c r="C132" s="1" t="n">
        <v>45989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41111-2023</t>
        </is>
      </c>
      <c r="B133" s="1" t="n">
        <v>45173.74025462963</v>
      </c>
      <c r="C133" s="1" t="n">
        <v>45989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41115-2023</t>
        </is>
      </c>
      <c r="B134" s="1" t="n">
        <v>45173</v>
      </c>
      <c r="C134" s="1" t="n">
        <v>45989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3585-2022</t>
        </is>
      </c>
      <c r="B135" s="1" t="n">
        <v>44586</v>
      </c>
      <c r="C135" s="1" t="n">
        <v>45989</v>
      </c>
      <c r="D135" t="inlineStr">
        <is>
          <t>STOCKHOLMS LÄN</t>
        </is>
      </c>
      <c r="E135" t="inlineStr">
        <is>
          <t>SÖDERTÄLJE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12907-2024</t>
        </is>
      </c>
      <c r="B136" s="1" t="n">
        <v>45385</v>
      </c>
      <c r="C136" s="1" t="n">
        <v>45989</v>
      </c>
      <c r="D136" t="inlineStr">
        <is>
          <t>STOCKHOLMS LÄN</t>
        </is>
      </c>
      <c r="E136" t="inlineStr">
        <is>
          <t>SÖDERTÄLJE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8320-2025</t>
        </is>
      </c>
      <c r="B137" s="1" t="n">
        <v>45708.62876157407</v>
      </c>
      <c r="C137" s="1" t="n">
        <v>45989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9562-2025</t>
        </is>
      </c>
      <c r="B138" s="1" t="n">
        <v>45715.61215277778</v>
      </c>
      <c r="C138" s="1" t="n">
        <v>45989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56596-2023</t>
        </is>
      </c>
      <c r="B139" s="1" t="n">
        <v>45243</v>
      </c>
      <c r="C139" s="1" t="n">
        <v>45989</v>
      </c>
      <c r="D139" t="inlineStr">
        <is>
          <t>STOCKHOLMS LÄN</t>
        </is>
      </c>
      <c r="E139" t="inlineStr">
        <is>
          <t>SÖDERTÄLJE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55940-2023</t>
        </is>
      </c>
      <c r="B140" s="1" t="n">
        <v>45240.30215277777</v>
      </c>
      <c r="C140" s="1" t="n">
        <v>45989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45989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45989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58140-2023</t>
        </is>
      </c>
      <c r="B143" s="1" t="n">
        <v>45250</v>
      </c>
      <c r="C143" s="1" t="n">
        <v>45989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26812-2022</t>
        </is>
      </c>
      <c r="B144" s="1" t="n">
        <v>44740</v>
      </c>
      <c r="C144" s="1" t="n">
        <v>45989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10280-2025</t>
        </is>
      </c>
      <c r="B145" s="1" t="n">
        <v>45720.40354166667</v>
      </c>
      <c r="C145" s="1" t="n">
        <v>45989</v>
      </c>
      <c r="D145" t="inlineStr">
        <is>
          <t>STOCKHOLMS LÄN</t>
        </is>
      </c>
      <c r="E145" t="inlineStr">
        <is>
          <t>SÖDERTÄLJE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62311-2023</t>
        </is>
      </c>
      <c r="B146" s="1" t="n">
        <v>45266</v>
      </c>
      <c r="C146" s="1" t="n">
        <v>45989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3383-2024</t>
        </is>
      </c>
      <c r="B147" s="1" t="n">
        <v>45317</v>
      </c>
      <c r="C147" s="1" t="n">
        <v>45989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35942-2022</t>
        </is>
      </c>
      <c r="B148" s="1" t="n">
        <v>44802</v>
      </c>
      <c r="C148" s="1" t="n">
        <v>45989</v>
      </c>
      <c r="D148" t="inlineStr">
        <is>
          <t>STOCKHOLMS LÄN</t>
        </is>
      </c>
      <c r="E148" t="inlineStr">
        <is>
          <t>SÖDERTÄLJE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45989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45989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51087-2023</t>
        </is>
      </c>
      <c r="B151" s="1" t="n">
        <v>45218.73296296296</v>
      </c>
      <c r="C151" s="1" t="n">
        <v>45989</v>
      </c>
      <c r="D151" t="inlineStr">
        <is>
          <t>STOCKHOLMS LÄN</t>
        </is>
      </c>
      <c r="E151" t="inlineStr">
        <is>
          <t>SÖDERTÄLJE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49136-2021</t>
        </is>
      </c>
      <c r="B152" s="1" t="n">
        <v>44453.91797453703</v>
      </c>
      <c r="C152" s="1" t="n">
        <v>45989</v>
      </c>
      <c r="D152" t="inlineStr">
        <is>
          <t>STOCKHOLMS LÄN</t>
        </is>
      </c>
      <c r="E152" t="inlineStr">
        <is>
          <t>SÖDERTÄLJE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35918-2022</t>
        </is>
      </c>
      <c r="B153" s="1" t="n">
        <v>44802</v>
      </c>
      <c r="C153" s="1" t="n">
        <v>45989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48820-2022</t>
        </is>
      </c>
      <c r="B154" s="1" t="n">
        <v>44859</v>
      </c>
      <c r="C154" s="1" t="n">
        <v>45989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34449-2021</t>
        </is>
      </c>
      <c r="B155" s="1" t="n">
        <v>44381.63587962963</v>
      </c>
      <c r="C155" s="1" t="n">
        <v>45989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45989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42337-2024</t>
        </is>
      </c>
      <c r="B157" s="1" t="n">
        <v>45562</v>
      </c>
      <c r="C157" s="1" t="n">
        <v>45989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35906-2022</t>
        </is>
      </c>
      <c r="B158" s="1" t="n">
        <v>44802</v>
      </c>
      <c r="C158" s="1" t="n">
        <v>45989</v>
      </c>
      <c r="D158" t="inlineStr">
        <is>
          <t>STOCKHOLMS LÄN</t>
        </is>
      </c>
      <c r="E158" t="inlineStr">
        <is>
          <t>SÖDERTÄLJE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11319-2024</t>
        </is>
      </c>
      <c r="B159" s="1" t="n">
        <v>45371.91613425926</v>
      </c>
      <c r="C159" s="1" t="n">
        <v>45989</v>
      </c>
      <c r="D159" t="inlineStr">
        <is>
          <t>STOCKHOLMS LÄN</t>
        </is>
      </c>
      <c r="E159" t="inlineStr">
        <is>
          <t>SÖDERTÄLJE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55941-2023</t>
        </is>
      </c>
      <c r="B160" s="1" t="n">
        <v>45240</v>
      </c>
      <c r="C160" s="1" t="n">
        <v>45989</v>
      </c>
      <c r="D160" t="inlineStr">
        <is>
          <t>STOCKHOLMS LÄN</t>
        </is>
      </c>
      <c r="E160" t="inlineStr">
        <is>
          <t>SÖDERTÄLJE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45989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58928-2022</t>
        </is>
      </c>
      <c r="B162" s="1" t="n">
        <v>44903</v>
      </c>
      <c r="C162" s="1" t="n">
        <v>45989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51026-2024</t>
        </is>
      </c>
      <c r="B163" s="1" t="n">
        <v>45603.4181712963</v>
      </c>
      <c r="C163" s="1" t="n">
        <v>45989</v>
      </c>
      <c r="D163" t="inlineStr">
        <is>
          <t>STOCKHOLMS LÄN</t>
        </is>
      </c>
      <c r="E163" t="inlineStr">
        <is>
          <t>SÖDERTÄLJE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28982-2024</t>
        </is>
      </c>
      <c r="B164" s="1" t="n">
        <v>45481.47568287037</v>
      </c>
      <c r="C164" s="1" t="n">
        <v>45989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27771-2021</t>
        </is>
      </c>
      <c r="B165" s="1" t="n">
        <v>44354</v>
      </c>
      <c r="C165" s="1" t="n">
        <v>45989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46671-2021</t>
        </is>
      </c>
      <c r="B166" s="1" t="n">
        <v>44445</v>
      </c>
      <c r="C166" s="1" t="n">
        <v>45989</v>
      </c>
      <c r="D166" t="inlineStr">
        <is>
          <t>STOCKHOLMS LÄN</t>
        </is>
      </c>
      <c r="E166" t="inlineStr">
        <is>
          <t>SÖDERTÄLJE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37842-2022</t>
        </is>
      </c>
      <c r="B167" s="1" t="n">
        <v>44810</v>
      </c>
      <c r="C167" s="1" t="n">
        <v>45989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31212-2024</t>
        </is>
      </c>
      <c r="B168" s="1" t="n">
        <v>45503</v>
      </c>
      <c r="C168" s="1" t="n">
        <v>45989</v>
      </c>
      <c r="D168" t="inlineStr">
        <is>
          <t>STOCKHOLMS LÄN</t>
        </is>
      </c>
      <c r="E168" t="inlineStr">
        <is>
          <t>SÖDERTÄLJE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52101-2022</t>
        </is>
      </c>
      <c r="B169" s="1" t="n">
        <v>44873</v>
      </c>
      <c r="C169" s="1" t="n">
        <v>45989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35200-2023</t>
        </is>
      </c>
      <c r="B170" s="1" t="n">
        <v>45145</v>
      </c>
      <c r="C170" s="1" t="n">
        <v>45989</v>
      </c>
      <c r="D170" t="inlineStr">
        <is>
          <t>STOCKHOLMS LÄN</t>
        </is>
      </c>
      <c r="E170" t="inlineStr">
        <is>
          <t>SÖDERTÄLJE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25706-2023</t>
        </is>
      </c>
      <c r="B171" s="1" t="n">
        <v>45090</v>
      </c>
      <c r="C171" s="1" t="n">
        <v>45989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34194-2024</t>
        </is>
      </c>
      <c r="B172" s="1" t="n">
        <v>45524</v>
      </c>
      <c r="C172" s="1" t="n">
        <v>45989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6157-2025</t>
        </is>
      </c>
      <c r="B173" s="1" t="n">
        <v>45698.40923611111</v>
      </c>
      <c r="C173" s="1" t="n">
        <v>45989</v>
      </c>
      <c r="D173" t="inlineStr">
        <is>
          <t>STOCKHOLMS LÄN</t>
        </is>
      </c>
      <c r="E173" t="inlineStr">
        <is>
          <t>SÖDERTÄLJE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47576-2023</t>
        </is>
      </c>
      <c r="B174" s="1" t="n">
        <v>45197</v>
      </c>
      <c r="C174" s="1" t="n">
        <v>45989</v>
      </c>
      <c r="D174" t="inlineStr">
        <is>
          <t>STOCKHOLMS LÄN</t>
        </is>
      </c>
      <c r="E174" t="inlineStr">
        <is>
          <t>SÖDERTÄLJE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45989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45989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954-2023</t>
        </is>
      </c>
      <c r="B177" s="1" t="n">
        <v>44934.7921875</v>
      </c>
      <c r="C177" s="1" t="n">
        <v>45989</v>
      </c>
      <c r="D177" t="inlineStr">
        <is>
          <t>STOCKHOLMS LÄN</t>
        </is>
      </c>
      <c r="E177" t="inlineStr">
        <is>
          <t>SÖDERTÄLJE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16615-2024</t>
        </is>
      </c>
      <c r="B178" s="1" t="n">
        <v>45408</v>
      </c>
      <c r="C178" s="1" t="n">
        <v>45989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4440-2023</t>
        </is>
      </c>
      <c r="B179" s="1" t="n">
        <v>44956</v>
      </c>
      <c r="C179" s="1" t="n">
        <v>45989</v>
      </c>
      <c r="D179" t="inlineStr">
        <is>
          <t>STOCKHOLMS LÄN</t>
        </is>
      </c>
      <c r="E179" t="inlineStr">
        <is>
          <t>SÖDERTÄLJE</t>
        </is>
      </c>
      <c r="G179" t="n">
        <v>18.4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22-2024</t>
        </is>
      </c>
      <c r="B180" s="1" t="n">
        <v>45293.40865740741</v>
      </c>
      <c r="C180" s="1" t="n">
        <v>45989</v>
      </c>
      <c r="D180" t="inlineStr">
        <is>
          <t>STOCKHOLMS LÄN</t>
        </is>
      </c>
      <c r="E180" t="inlineStr">
        <is>
          <t>SÖDERTÄLJE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20091-2025</t>
        </is>
      </c>
      <c r="B181" s="1" t="n">
        <v>45771</v>
      </c>
      <c r="C181" s="1" t="n">
        <v>45989</v>
      </c>
      <c r="D181" t="inlineStr">
        <is>
          <t>STOCKHOLMS LÄN</t>
        </is>
      </c>
      <c r="E181" t="inlineStr">
        <is>
          <t>SÖDERTÄLJE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51082-2024</t>
        </is>
      </c>
      <c r="B182" s="1" t="n">
        <v>45603.46126157408</v>
      </c>
      <c r="C182" s="1" t="n">
        <v>45989</v>
      </c>
      <c r="D182" t="inlineStr">
        <is>
          <t>STOCKHOLMS LÄN</t>
        </is>
      </c>
      <c r="E182" t="inlineStr">
        <is>
          <t>SÖDERTÄLJE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9891-2025</t>
        </is>
      </c>
      <c r="B183" s="1" t="n">
        <v>45716.70479166666</v>
      </c>
      <c r="C183" s="1" t="n">
        <v>45989</v>
      </c>
      <c r="D183" t="inlineStr">
        <is>
          <t>STOCKHOLMS LÄN</t>
        </is>
      </c>
      <c r="E183" t="inlineStr">
        <is>
          <t>SÖDERTÄLJE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44790.60921296296</v>
      </c>
      <c r="C184" s="1" t="n">
        <v>45989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17979-2024</t>
        </is>
      </c>
      <c r="B185" s="1" t="n">
        <v>45419.86915509259</v>
      </c>
      <c r="C185" s="1" t="n">
        <v>45989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47977-2022</t>
        </is>
      </c>
      <c r="B186" s="1" t="n">
        <v>44855</v>
      </c>
      <c r="C186" s="1" t="n">
        <v>45989</v>
      </c>
      <c r="D186" t="inlineStr">
        <is>
          <t>STOCKHOLMS LÄN</t>
        </is>
      </c>
      <c r="E186" t="inlineStr">
        <is>
          <t>SÖDERTÄLJE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19210-2024</t>
        </is>
      </c>
      <c r="B187" s="1" t="n">
        <v>45428.54665509259</v>
      </c>
      <c r="C187" s="1" t="n">
        <v>45989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51353-2024</t>
        </is>
      </c>
      <c r="B188" s="1" t="n">
        <v>45604.36140046296</v>
      </c>
      <c r="C188" s="1" t="n">
        <v>45989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2025-11-28T10:22:39Z</dcterms:modified>
</cp:coreProperties>
</file>