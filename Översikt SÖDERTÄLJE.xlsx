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45637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45637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45637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45637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45637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45637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45637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37679-2021</t>
        </is>
      </c>
      <c r="B9" s="1" t="n">
        <v>44400</v>
      </c>
      <c r="C9" s="1" t="n">
        <v>45637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25.3</v>
      </c>
      <c r="H9" t="n">
        <v>0</v>
      </c>
      <c r="I9" t="n">
        <v>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Franstandad barkskinnbagge
Björkstumpbagge
Svinrot
Spindelbock
Åttafläckig praktbagge</t>
        </is>
      </c>
      <c r="S9">
        <f>HYPERLINK("https://klasma.github.io/Logging_0181/artfynd/A 37679-2021 artfynd.xlsx", "A 37679-2021")</f>
        <v/>
      </c>
      <c r="T9">
        <f>HYPERLINK("https://klasma.github.io/Logging_0181/kartor/A 37679-2021 karta.png", "A 37679-2021")</f>
        <v/>
      </c>
      <c r="V9">
        <f>HYPERLINK("https://klasma.github.io/Logging_0181/klagomål/A 37679-2021 FSC-klagomål.docx", "A 37679-2021")</f>
        <v/>
      </c>
      <c r="W9">
        <f>HYPERLINK("https://klasma.github.io/Logging_0181/klagomålsmail/A 37679-2021 FSC-klagomål mail.docx", "A 37679-2021")</f>
        <v/>
      </c>
      <c r="X9">
        <f>HYPERLINK("https://klasma.github.io/Logging_0181/tillsyn/A 37679-2021 tillsynsbegäran.docx", "A 37679-2021")</f>
        <v/>
      </c>
      <c r="Y9">
        <f>HYPERLINK("https://klasma.github.io/Logging_0181/tillsynsmail/A 37679-2021 tillsynsbegäran mail.docx", "A 37679-2021")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45637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36955-2024</t>
        </is>
      </c>
      <c r="B11" s="1" t="n">
        <v>45538</v>
      </c>
      <c r="C11" s="1" t="n">
        <v>45637</v>
      </c>
      <c r="D11" t="inlineStr">
        <is>
          <t>STOCKHOLMS LÄN</t>
        </is>
      </c>
      <c r="E11" t="inlineStr">
        <is>
          <t>SÖDERTÄLJE</t>
        </is>
      </c>
      <c r="G11" t="n">
        <v>7.2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Svart taggsvamp
Björksplintborre
Dropptaggsvamp
Revlummer</t>
        </is>
      </c>
      <c r="S11">
        <f>HYPERLINK("https://klasma.github.io/Logging_0181/artfynd/A 36955-2024 artfynd.xlsx", "A 36955-2024")</f>
        <v/>
      </c>
      <c r="T11">
        <f>HYPERLINK("https://klasma.github.io/Logging_0181/kartor/A 36955-2024 karta.png", "A 36955-2024")</f>
        <v/>
      </c>
      <c r="U11">
        <f>HYPERLINK("https://klasma.github.io/Logging_0181/knärot/A 36955-2024 karta knärot.png", "A 36955-2024")</f>
        <v/>
      </c>
      <c r="V11">
        <f>HYPERLINK("https://klasma.github.io/Logging_0181/klagomål/A 36955-2024 FSC-klagomål.docx", "A 36955-2024")</f>
        <v/>
      </c>
      <c r="W11">
        <f>HYPERLINK("https://klasma.github.io/Logging_0181/klagomålsmail/A 36955-2024 FSC-klagomål mail.docx", "A 36955-2024")</f>
        <v/>
      </c>
      <c r="X11">
        <f>HYPERLINK("https://klasma.github.io/Logging_0181/tillsyn/A 36955-2024 tillsynsbegäran.docx", "A 36955-2024")</f>
        <v/>
      </c>
      <c r="Y11">
        <f>HYPERLINK("https://klasma.github.io/Logging_0181/tillsynsmail/A 36955-2024 tillsynsbegäran mail.docx", "A 36955-2024")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45637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45637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45637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45637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45637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45637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45637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45637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45637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45637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45637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45637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45637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45637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45637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45637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45637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45637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45637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45637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45637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45637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45637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45637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45637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45637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45637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45637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45637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45637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45637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45637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45637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45637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45637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45637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45637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45637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45637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45637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45637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45637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45637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45637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45637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45637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45637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45637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45637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45637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45637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45637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45637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45637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45637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45637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45637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45637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45637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45637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45637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45637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45637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45637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45637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45637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45637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45637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45637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45637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45637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45637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45637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45637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45637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45637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45637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45637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45637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45637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45637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45637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45637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45637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45637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45637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45637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45637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45637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45637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45637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45637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45637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45637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45637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45637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45637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45637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45637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45637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45637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45637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45637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45637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45637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45637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45637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45637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45637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45637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45637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45637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45637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45637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45637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45637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45637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45637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45637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45637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45637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45637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45637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45637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45637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45637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45637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45637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45637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45637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45637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45637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45637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45637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45637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45637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45637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45637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45637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45637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45637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45637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45637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45637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45637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45637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45637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45637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45637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45637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45637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45637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45637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45637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45637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45637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45637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45637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45637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45637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45637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45637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45637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45637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45637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45637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45637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45637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45637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45637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45637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45637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45637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45637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45637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45637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45637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45637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45637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45637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45637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45637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45637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45637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45637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45637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45637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45637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45637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45637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45637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45637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45637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45637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45637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45637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45637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45637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45637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45637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45637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45637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45637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45637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45637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45637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45637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45637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45637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45637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45637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45637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45637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45637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45637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45637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45637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45637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45637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45637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45637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45637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45637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45637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45637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45637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45637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45637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45637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45637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45637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45637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45637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45637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45637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45637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45637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45637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45637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45637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45637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45637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45637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45637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45637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45637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45637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45637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45637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45637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45637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45637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45637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45637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45637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45637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45637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45637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45637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45637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45637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45637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45637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45637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45637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45637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45637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45637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45637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45637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45637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45637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45637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45637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45637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45637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45637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45637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45637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45637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45637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45637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45637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45637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45637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45637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45637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45637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45637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45637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45637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45637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45637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45637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45637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45637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45637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45637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45637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45637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45637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45637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45637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45637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45637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45637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45637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45637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45637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45637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45637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45637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45637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45637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45637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45637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45637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45637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45637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45637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45637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45637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45637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45637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45637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45637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45637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45637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45637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45637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45637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45637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45637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45637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45637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45637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45637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45637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45637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45637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45637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45637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57821-2024</t>
        </is>
      </c>
      <c r="B354" s="1" t="n">
        <v>45631</v>
      </c>
      <c r="C354" s="1" t="n">
        <v>45637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57828-2024</t>
        </is>
      </c>
      <c r="B355" s="1" t="n">
        <v>45631</v>
      </c>
      <c r="C355" s="1" t="n">
        <v>45637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57832-2024</t>
        </is>
      </c>
      <c r="B356" s="1" t="n">
        <v>45631</v>
      </c>
      <c r="C356" s="1" t="n">
        <v>45637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2024-12-11T15:10:37Z</dcterms:created>
  <dcterms:modified xmlns:dcterms="http://purl.org/dc/terms/" xmlns:xsi="http://www.w3.org/2001/XMLSchema-instance" xsi:type="dcterms:W3CDTF">2024-12-11T15:10:38Z</dcterms:modified>
</cp:coreProperties>
</file>