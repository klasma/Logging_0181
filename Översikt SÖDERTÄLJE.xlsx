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46188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46188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46188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46188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57411-2025</t>
        </is>
      </c>
      <c r="B6" s="1" t="n">
        <v>45980.4487037037</v>
      </c>
      <c r="C6" s="1" t="n">
        <v>46188</v>
      </c>
      <c r="D6" t="inlineStr">
        <is>
          <t>STOCKHOLMS LÄN</t>
        </is>
      </c>
      <c r="E6" t="inlineStr">
        <is>
          <t>SÖDERTÄLJE</t>
        </is>
      </c>
      <c r="G6" t="n">
        <v>3.5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Ullticka
Grön sköldmossa
Grönpyrola
Jättesvampmal
Trådticka
Blåsippa</t>
        </is>
      </c>
      <c r="S6">
        <f>HYPERLINK("https://klasma.github.io/Logging_0181/artfynd/A 57411-2025 artfynd.xlsx", "A 57411-2025")</f>
        <v/>
      </c>
      <c r="T6">
        <f>HYPERLINK("https://klasma.github.io/Logging_0181/kartor/A 57411-2025 karta.png", "A 57411-2025")</f>
        <v/>
      </c>
      <c r="V6">
        <f>HYPERLINK("https://klasma.github.io/Logging_0181/klagomål/A 57411-2025 FSC-klagomål.docx", "A 57411-2025")</f>
        <v/>
      </c>
      <c r="W6">
        <f>HYPERLINK("https://klasma.github.io/Logging_0181/klagomålsmail/A 57411-2025 FSC-klagomål mail.docx", "A 57411-2025")</f>
        <v/>
      </c>
      <c r="X6">
        <f>HYPERLINK("https://klasma.github.io/Logging_0181/tillsyn/A 57411-2025 tillsynsbegäran.docx", "A 57411-2025")</f>
        <v/>
      </c>
      <c r="Y6">
        <f>HYPERLINK("https://klasma.github.io/Logging_0181/tillsynsmail/A 57411-2025 tillsynsbegäran mail.docx", "A 57411-2025")</f>
        <v/>
      </c>
    </row>
    <row r="7" ht="15" customHeight="1">
      <c r="A7" t="inlineStr">
        <is>
          <t>A 23846-2026</t>
        </is>
      </c>
      <c r="B7" s="1" t="n">
        <v>46167.36409722222</v>
      </c>
      <c r="C7" s="1" t="n">
        <v>46188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11.2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Blåmossa
Flagellkvastmossa
Bred kärrtrollslända
Citronfläckad kärrtrollslända
Pudrad kärrtrollslända</t>
        </is>
      </c>
      <c r="S7">
        <f>HYPERLINK("https://klasma.github.io/Logging_0181/artfynd/A 23846-2026 artfynd.xlsx", "A 23846-2026")</f>
        <v/>
      </c>
      <c r="T7">
        <f>HYPERLINK("https://klasma.github.io/Logging_0181/kartor/A 23846-2026 karta.png", "A 23846-2026")</f>
        <v/>
      </c>
      <c r="V7">
        <f>HYPERLINK("https://klasma.github.io/Logging_0181/klagomål/A 23846-2026 FSC-klagomål.docx", "A 23846-2026")</f>
        <v/>
      </c>
      <c r="W7">
        <f>HYPERLINK("https://klasma.github.io/Logging_0181/klagomålsmail/A 23846-2026 FSC-klagomål mail.docx", "A 23846-2026")</f>
        <v/>
      </c>
      <c r="X7">
        <f>HYPERLINK("https://klasma.github.io/Logging_0181/tillsyn/A 23846-2026 tillsynsbegäran.docx", "A 23846-2026")</f>
        <v/>
      </c>
      <c r="Y7">
        <f>HYPERLINK("https://klasma.github.io/Logging_0181/tillsynsmail/A 23846-2026 tillsynsbegäran mail.docx", "A 23846-2026")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46188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2680-2026</t>
        </is>
      </c>
      <c r="B9" s="1" t="n">
        <v>46037.65403935185</v>
      </c>
      <c r="C9" s="1" t="n">
        <v>46188</v>
      </c>
      <c r="D9" t="inlineStr">
        <is>
          <t>STOCKHOLMS LÄN</t>
        </is>
      </c>
      <c r="E9" t="inlineStr">
        <is>
          <t>SÖDERTÄLJE</t>
        </is>
      </c>
      <c r="G9" t="n">
        <v>2.2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Klasefibbla
Svinrot
Springkorn
Svart trolldruva
Vårärt</t>
        </is>
      </c>
      <c r="S9">
        <f>HYPERLINK("https://klasma.github.io/Logging_0181/artfynd/A 2680-2026 artfynd.xlsx", "A 2680-2026")</f>
        <v/>
      </c>
      <c r="T9">
        <f>HYPERLINK("https://klasma.github.io/Logging_0181/kartor/A 2680-2026 karta.png", "A 2680-2026")</f>
        <v/>
      </c>
      <c r="V9">
        <f>HYPERLINK("https://klasma.github.io/Logging_0181/klagomål/A 2680-2026 FSC-klagomål.docx", "A 2680-2026")</f>
        <v/>
      </c>
      <c r="W9">
        <f>HYPERLINK("https://klasma.github.io/Logging_0181/klagomålsmail/A 2680-2026 FSC-klagomål mail.docx", "A 2680-2026")</f>
        <v/>
      </c>
      <c r="X9">
        <f>HYPERLINK("https://klasma.github.io/Logging_0181/tillsyn/A 2680-2026 tillsynsbegäran.docx", "A 2680-2026")</f>
        <v/>
      </c>
      <c r="Y9">
        <f>HYPERLINK("https://klasma.github.io/Logging_0181/tillsynsmail/A 2680-2026 tillsynsbegäran mail.docx", "A 2680-2026")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46188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25671-2026</t>
        </is>
      </c>
      <c r="B11" s="1" t="n">
        <v>46178.33164351852</v>
      </c>
      <c r="C11" s="1" t="n">
        <v>46188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Vedskivlav
Vedtrappmossa
Fjällig taggsvamp s.str.
Blåsippa
Revlummer</t>
        </is>
      </c>
      <c r="S11">
        <f>HYPERLINK("https://klasma.github.io/Logging_0181/artfynd/A 25671-2026 artfynd.xlsx", "A 25671-2026")</f>
        <v/>
      </c>
      <c r="T11">
        <f>HYPERLINK("https://klasma.github.io/Logging_0181/kartor/A 25671-2026 karta.png", "A 25671-2026")</f>
        <v/>
      </c>
      <c r="V11">
        <f>HYPERLINK("https://klasma.github.io/Logging_0181/klagomål/A 25671-2026 FSC-klagomål.docx", "A 25671-2026")</f>
        <v/>
      </c>
      <c r="W11">
        <f>HYPERLINK("https://klasma.github.io/Logging_0181/klagomålsmail/A 25671-2026 FSC-klagomål mail.docx", "A 25671-2026")</f>
        <v/>
      </c>
      <c r="X11">
        <f>HYPERLINK("https://klasma.github.io/Logging_0181/tillsyn/A 25671-2026 tillsynsbegäran.docx", "A 25671-2026")</f>
        <v/>
      </c>
      <c r="Y11">
        <f>HYPERLINK("https://klasma.github.io/Logging_0181/tillsynsmail/A 25671-2026 tillsynsbegäran mail.docx", "A 25671-2026")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46188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46188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49850-2025</t>
        </is>
      </c>
      <c r="B14" s="1" t="n">
        <v>45940.48542824074</v>
      </c>
      <c r="C14" s="1" t="n">
        <v>46188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Blåsippa
Mattlummer</t>
        </is>
      </c>
      <c r="S14">
        <f>HYPERLINK("https://klasma.github.io/Logging_0181/artfynd/A 49850-2025 artfynd.xlsx", "A 49850-2025")</f>
        <v/>
      </c>
      <c r="T14">
        <f>HYPERLINK("https://klasma.github.io/Logging_0181/kartor/A 49850-2025 karta.png", "A 49850-2025")</f>
        <v/>
      </c>
      <c r="V14">
        <f>HYPERLINK("https://klasma.github.io/Logging_0181/klagomål/A 49850-2025 FSC-klagomål.docx", "A 49850-2025")</f>
        <v/>
      </c>
      <c r="W14">
        <f>HYPERLINK("https://klasma.github.io/Logging_0181/klagomålsmail/A 49850-2025 FSC-klagomål mail.docx", "A 49850-2025")</f>
        <v/>
      </c>
      <c r="X14">
        <f>HYPERLINK("https://klasma.github.io/Logging_0181/tillsyn/A 49850-2025 tillsynsbegäran.docx", "A 49850-2025")</f>
        <v/>
      </c>
      <c r="Y14">
        <f>HYPERLINK("https://klasma.github.io/Logging_0181/tillsynsmail/A 49850-2025 tillsynsbegäran mail.docx", "A 49850-2025")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46188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46188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27058-2024</t>
        </is>
      </c>
      <c r="B17" s="1" t="n">
        <v>45471</v>
      </c>
      <c r="C17" s="1" t="n">
        <v>46188</v>
      </c>
      <c r="D17" t="inlineStr">
        <is>
          <t>STOCKHOLMS LÄN</t>
        </is>
      </c>
      <c r="E17" t="inlineStr">
        <is>
          <t>SÖDERTÄLJE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Persiljespindling
Gröngöling</t>
        </is>
      </c>
      <c r="S17">
        <f>HYPERLINK("https://klasma.github.io/Logging_0181/artfynd/A 27058-2024 artfynd.xlsx", "A 27058-2024")</f>
        <v/>
      </c>
      <c r="T17">
        <f>HYPERLINK("https://klasma.github.io/Logging_0181/kartor/A 27058-2024 karta.png", "A 27058-2024")</f>
        <v/>
      </c>
      <c r="V17">
        <f>HYPERLINK("https://klasma.github.io/Logging_0181/klagomål/A 27058-2024 FSC-klagomål.docx", "A 27058-2024")</f>
        <v/>
      </c>
      <c r="W17">
        <f>HYPERLINK("https://klasma.github.io/Logging_0181/klagomålsmail/A 27058-2024 FSC-klagomål mail.docx", "A 27058-2024")</f>
        <v/>
      </c>
      <c r="X17">
        <f>HYPERLINK("https://klasma.github.io/Logging_0181/tillsyn/A 27058-2024 tillsynsbegäran.docx", "A 27058-2024")</f>
        <v/>
      </c>
      <c r="Y17">
        <f>HYPERLINK("https://klasma.github.io/Logging_0181/tillsynsmail/A 27058-2024 tillsynsbegäran mail.docx", "A 27058-2024")</f>
        <v/>
      </c>
      <c r="Z17">
        <f>HYPERLINK("https://klasma.github.io/Logging_0181/fåglar/A 27058-2024 prioriterade fågelarter.docx", "A 27058-2024")</f>
        <v/>
      </c>
    </row>
    <row r="18" ht="15" customHeight="1">
      <c r="A18" t="inlineStr">
        <is>
          <t>A 3711-2026</t>
        </is>
      </c>
      <c r="B18" s="1" t="n">
        <v>46043.48092592593</v>
      </c>
      <c r="C18" s="1" t="n">
        <v>46188</v>
      </c>
      <c r="D18" t="inlineStr">
        <is>
          <t>STOCKHOLMS LÄN</t>
        </is>
      </c>
      <c r="E18" t="inlineStr">
        <is>
          <t>SÖDERTÄLJE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Spillkråka</t>
        </is>
      </c>
      <c r="S18">
        <f>HYPERLINK("https://klasma.github.io/Logging_0181/artfynd/A 3711-2026 artfynd.xlsx", "A 3711-2026")</f>
        <v/>
      </c>
      <c r="T18">
        <f>HYPERLINK("https://klasma.github.io/Logging_0181/kartor/A 3711-2026 karta.png", "A 3711-2026")</f>
        <v/>
      </c>
      <c r="V18">
        <f>HYPERLINK("https://klasma.github.io/Logging_0181/klagomål/A 3711-2026 FSC-klagomål.docx", "A 3711-2026")</f>
        <v/>
      </c>
      <c r="W18">
        <f>HYPERLINK("https://klasma.github.io/Logging_0181/klagomålsmail/A 3711-2026 FSC-klagomål mail.docx", "A 3711-2026")</f>
        <v/>
      </c>
      <c r="X18">
        <f>HYPERLINK("https://klasma.github.io/Logging_0181/tillsyn/A 3711-2026 tillsynsbegäran.docx", "A 3711-2026")</f>
        <v/>
      </c>
      <c r="Y18">
        <f>HYPERLINK("https://klasma.github.io/Logging_0181/tillsynsmail/A 3711-2026 tillsynsbegäran mail.docx", "A 3711-2026")</f>
        <v/>
      </c>
      <c r="Z18">
        <f>HYPERLINK("https://klasma.github.io/Logging_0181/fåglar/A 3711-2026 prioriterade fågelarter.docx", "A 3711-2026")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46188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46188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46188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46188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46188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46188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48341-2025</t>
        </is>
      </c>
      <c r="B25" s="1" t="n">
        <v>45933</v>
      </c>
      <c r="C25" s="1" t="n">
        <v>46188</v>
      </c>
      <c r="D25" t="inlineStr">
        <is>
          <t>STOCKHOLMS LÄN</t>
        </is>
      </c>
      <c r="E25" t="inlineStr">
        <is>
          <t>SÖDERTÄLJE</t>
        </is>
      </c>
      <c r="F25" t="inlineStr">
        <is>
          <t>Övriga statliga verk och myndigheter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HYPERLINK("https://klasma.github.io/Logging_0181/artfynd/A 48341-2025 artfynd.xlsx", "A 48341-2025")</f>
        <v/>
      </c>
      <c r="T25">
        <f>HYPERLINK("https://klasma.github.io/Logging_0181/kartor/A 48341-2025 karta.png", "A 48341-2025")</f>
        <v/>
      </c>
      <c r="U25">
        <f>HYPERLINK("https://klasma.github.io/Logging_0181/knärot/A 48341-2025 karta knärot.png", "A 48341-2025")</f>
        <v/>
      </c>
      <c r="V25">
        <f>HYPERLINK("https://klasma.github.io/Logging_0181/klagomål/A 48341-2025 FSC-klagomål.docx", "A 48341-2025")</f>
        <v/>
      </c>
      <c r="W25">
        <f>HYPERLINK("https://klasma.github.io/Logging_0181/klagomålsmail/A 48341-2025 FSC-klagomål mail.docx", "A 48341-2025")</f>
        <v/>
      </c>
      <c r="X25">
        <f>HYPERLINK("https://klasma.github.io/Logging_0181/tillsyn/A 48341-2025 tillsynsbegäran.docx", "A 48341-2025")</f>
        <v/>
      </c>
      <c r="Y25">
        <f>HYPERLINK("https://klasma.github.io/Logging_0181/tillsynsmail/A 48341-2025 tillsynsbegäran mail.docx", "A 48341-2025")</f>
        <v/>
      </c>
    </row>
    <row r="26" ht="15" customHeight="1">
      <c r="A26" t="inlineStr">
        <is>
          <t>A 21726-2025</t>
        </is>
      </c>
      <c r="B26" s="1" t="n">
        <v>45783.56921296296</v>
      </c>
      <c r="C26" s="1" t="n">
        <v>46188</v>
      </c>
      <c r="D26" t="inlineStr">
        <is>
          <t>STOCKHOLMS LÄN</t>
        </is>
      </c>
      <c r="E26" t="inlineStr">
        <is>
          <t>SÖDERTÄLJE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Druvfingersvampar</t>
        </is>
      </c>
      <c r="S26">
        <f>HYPERLINK("https://klasma.github.io/Logging_0181/artfynd/A 21726-2025 artfynd.xlsx", "A 21726-2025")</f>
        <v/>
      </c>
      <c r="T26">
        <f>HYPERLINK("https://klasma.github.io/Logging_0181/kartor/A 21726-2025 karta.png", "A 21726-2025")</f>
        <v/>
      </c>
      <c r="V26">
        <f>HYPERLINK("https://klasma.github.io/Logging_0181/klagomål/A 21726-2025 FSC-klagomål.docx", "A 21726-2025")</f>
        <v/>
      </c>
      <c r="W26">
        <f>HYPERLINK("https://klasma.github.io/Logging_0181/klagomålsmail/A 21726-2025 FSC-klagomål mail.docx", "A 21726-2025")</f>
        <v/>
      </c>
      <c r="X26">
        <f>HYPERLINK("https://klasma.github.io/Logging_0181/tillsyn/A 21726-2025 tillsynsbegäran.docx", "A 21726-2025")</f>
        <v/>
      </c>
      <c r="Y26">
        <f>HYPERLINK("https://klasma.github.io/Logging_0181/tillsynsmail/A 21726-2025 tillsynsbegäran mail.docx", "A 21726-2025")</f>
        <v/>
      </c>
    </row>
    <row r="27" ht="15" customHeight="1">
      <c r="A27" t="inlineStr">
        <is>
          <t>A 55044-2025</t>
        </is>
      </c>
      <c r="B27" s="1" t="n">
        <v>45967.66005787037</v>
      </c>
      <c r="C27" s="1" t="n">
        <v>46188</v>
      </c>
      <c r="D27" t="inlineStr">
        <is>
          <t>STOCKHOLMS LÄN</t>
        </is>
      </c>
      <c r="E27" t="inlineStr">
        <is>
          <t>SÖDERTÄLJE</t>
        </is>
      </c>
      <c r="G27" t="n">
        <v>3.8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HYPERLINK("https://klasma.github.io/Logging_0181/artfynd/A 55044-2025 artfynd.xlsx", "A 55044-2025")</f>
        <v/>
      </c>
      <c r="T27">
        <f>HYPERLINK("https://klasma.github.io/Logging_0181/kartor/A 55044-2025 karta.png", "A 55044-2025")</f>
        <v/>
      </c>
      <c r="V27">
        <f>HYPERLINK("https://klasma.github.io/Logging_0181/klagomål/A 55044-2025 FSC-klagomål.docx", "A 55044-2025")</f>
        <v/>
      </c>
      <c r="W27">
        <f>HYPERLINK("https://klasma.github.io/Logging_0181/klagomålsmail/A 55044-2025 FSC-klagomål mail.docx", "A 55044-2025")</f>
        <v/>
      </c>
      <c r="X27">
        <f>HYPERLINK("https://klasma.github.io/Logging_0181/tillsyn/A 55044-2025 tillsynsbegäran.docx", "A 55044-2025")</f>
        <v/>
      </c>
      <c r="Y27">
        <f>HYPERLINK("https://klasma.github.io/Logging_0181/tillsynsmail/A 55044-2025 tillsynsbegäran mail.docx", "A 55044-2025")</f>
        <v/>
      </c>
      <c r="Z27">
        <f>HYPERLINK("https://klasma.github.io/Logging_0181/fåglar/A 55044-2025 prioriterade fågelarter.docx", "A 55044-2025")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46188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46188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9205-2026</t>
        </is>
      </c>
      <c r="B30" s="1" t="n">
        <v>46070.41689814815</v>
      </c>
      <c r="C30" s="1" t="n">
        <v>46188</v>
      </c>
      <c r="D30" t="inlineStr">
        <is>
          <t>STOCKHOLMS LÄN</t>
        </is>
      </c>
      <c r="E30" t="inlineStr">
        <is>
          <t>SÖDERTÄLJE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Gullgröppa</t>
        </is>
      </c>
      <c r="S30">
        <f>HYPERLINK("https://klasma.github.io/Logging_0181/artfynd/A 9205-2026 artfynd.xlsx", "A 9205-2026")</f>
        <v/>
      </c>
      <c r="T30">
        <f>HYPERLINK("https://klasma.github.io/Logging_0181/kartor/A 9205-2026 karta.png", "A 9205-2026")</f>
        <v/>
      </c>
      <c r="V30">
        <f>HYPERLINK("https://klasma.github.io/Logging_0181/klagomål/A 9205-2026 FSC-klagomål.docx", "A 9205-2026")</f>
        <v/>
      </c>
      <c r="W30">
        <f>HYPERLINK("https://klasma.github.io/Logging_0181/klagomålsmail/A 9205-2026 FSC-klagomål mail.docx", "A 9205-2026")</f>
        <v/>
      </c>
      <c r="X30">
        <f>HYPERLINK("https://klasma.github.io/Logging_0181/tillsyn/A 9205-2026 tillsynsbegäran.docx", "A 9205-2026")</f>
        <v/>
      </c>
      <c r="Y30">
        <f>HYPERLINK("https://klasma.github.io/Logging_0181/tillsynsmail/A 9205-2026 tillsynsbegäran mail.docx", "A 9205-2026")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46188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46188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51087-2023</t>
        </is>
      </c>
      <c r="B33" s="1" t="n">
        <v>45218.73296296296</v>
      </c>
      <c r="C33" s="1" t="n">
        <v>46188</v>
      </c>
      <c r="D33" t="inlineStr">
        <is>
          <t>STOCKHOLMS LÄN</t>
        </is>
      </c>
      <c r="E33" t="inlineStr">
        <is>
          <t>SÖDERTÄLJE</t>
        </is>
      </c>
      <c r="G33" t="n">
        <v>4.2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HYPERLINK("https://klasma.github.io/Logging_0181/artfynd/A 51087-2023 artfynd.xlsx", "A 51087-2023")</f>
        <v/>
      </c>
      <c r="T33">
        <f>HYPERLINK("https://klasma.github.io/Logging_0181/kartor/A 51087-2023 karta.png", "A 51087-2023")</f>
        <v/>
      </c>
      <c r="V33">
        <f>HYPERLINK("https://klasma.github.io/Logging_0181/klagomål/A 51087-2023 FSC-klagomål.docx", "A 51087-2023")</f>
        <v/>
      </c>
      <c r="W33">
        <f>HYPERLINK("https://klasma.github.io/Logging_0181/klagomålsmail/A 51087-2023 FSC-klagomål mail.docx", "A 51087-2023")</f>
        <v/>
      </c>
      <c r="X33">
        <f>HYPERLINK("https://klasma.github.io/Logging_0181/tillsyn/A 51087-2023 tillsynsbegäran.docx", "A 51087-2023")</f>
        <v/>
      </c>
      <c r="Y33">
        <f>HYPERLINK("https://klasma.github.io/Logging_0181/tillsynsmail/A 51087-2023 tillsynsbegäran mail.docx", "A 51087-2023")</f>
        <v/>
      </c>
    </row>
    <row r="34" ht="15" customHeight="1">
      <c r="A34" t="inlineStr">
        <is>
          <t>A 36505-2025</t>
        </is>
      </c>
      <c r="B34" s="1" t="n">
        <v>45869.57192129629</v>
      </c>
      <c r="C34" s="1" t="n">
        <v>46188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36505-2025 artfynd.xlsx", "A 36505-2025")</f>
        <v/>
      </c>
      <c r="T34">
        <f>HYPERLINK("https://klasma.github.io/Logging_0181/kartor/A 36505-2025 karta.png", "A 36505-2025")</f>
        <v/>
      </c>
      <c r="V34">
        <f>HYPERLINK("https://klasma.github.io/Logging_0181/klagomål/A 36505-2025 FSC-klagomål.docx", "A 36505-2025")</f>
        <v/>
      </c>
      <c r="W34">
        <f>HYPERLINK("https://klasma.github.io/Logging_0181/klagomålsmail/A 36505-2025 FSC-klagomål mail.docx", "A 36505-2025")</f>
        <v/>
      </c>
      <c r="X34">
        <f>HYPERLINK("https://klasma.github.io/Logging_0181/tillsyn/A 36505-2025 tillsynsbegäran.docx", "A 36505-2025")</f>
        <v/>
      </c>
      <c r="Y34">
        <f>HYPERLINK("https://klasma.github.io/Logging_0181/tillsynsmail/A 36505-2025 tillsynsbegäran mail.docx", "A 36505-2025")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46188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34449-2021</t>
        </is>
      </c>
      <c r="B36" s="1" t="n">
        <v>44381.63587962963</v>
      </c>
      <c r="C36" s="1" t="n">
        <v>46188</v>
      </c>
      <c r="D36" t="inlineStr">
        <is>
          <t>STOCKHOLMS LÄN</t>
        </is>
      </c>
      <c r="E36" t="inlineStr">
        <is>
          <t>SÖDERTÄLJE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HYPERLINK("https://klasma.github.io/Logging_0181/artfynd/A 34449-2021 artfynd.xlsx", "A 34449-2021")</f>
        <v/>
      </c>
      <c r="T36">
        <f>HYPERLINK("https://klasma.github.io/Logging_0181/kartor/A 34449-2021 karta.png", "A 34449-2021")</f>
        <v/>
      </c>
      <c r="V36">
        <f>HYPERLINK("https://klasma.github.io/Logging_0181/klagomål/A 34449-2021 FSC-klagomål.docx", "A 34449-2021")</f>
        <v/>
      </c>
      <c r="W36">
        <f>HYPERLINK("https://klasma.github.io/Logging_0181/klagomålsmail/A 34449-2021 FSC-klagomål mail.docx", "A 34449-2021")</f>
        <v/>
      </c>
      <c r="X36">
        <f>HYPERLINK("https://klasma.github.io/Logging_0181/tillsyn/A 34449-2021 tillsynsbegäran.docx", "A 34449-2021")</f>
        <v/>
      </c>
      <c r="Y36">
        <f>HYPERLINK("https://klasma.github.io/Logging_0181/tillsynsmail/A 34449-2021 tillsynsbegäran mail.docx", "A 34449-2021")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46188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16478-2025</t>
        </is>
      </c>
      <c r="B38" s="1" t="n">
        <v>45751.57346064815</v>
      </c>
      <c r="C38" s="1" t="n">
        <v>46188</v>
      </c>
      <c r="D38" t="inlineStr">
        <is>
          <t>STOCKHOLMS LÄN</t>
        </is>
      </c>
      <c r="E38" t="inlineStr">
        <is>
          <t>SÖDERTÄLJE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HYPERLINK("https://klasma.github.io/Logging_0181/artfynd/A 16478-2025 artfynd.xlsx", "A 16478-2025")</f>
        <v/>
      </c>
      <c r="T38">
        <f>HYPERLINK("https://klasma.github.io/Logging_0181/kartor/A 16478-2025 karta.png", "A 16478-2025")</f>
        <v/>
      </c>
      <c r="V38">
        <f>HYPERLINK("https://klasma.github.io/Logging_0181/klagomål/A 16478-2025 FSC-klagomål.docx", "A 16478-2025")</f>
        <v/>
      </c>
      <c r="W38">
        <f>HYPERLINK("https://klasma.github.io/Logging_0181/klagomålsmail/A 16478-2025 FSC-klagomål mail.docx", "A 16478-2025")</f>
        <v/>
      </c>
      <c r="X38">
        <f>HYPERLINK("https://klasma.github.io/Logging_0181/tillsyn/A 16478-2025 tillsynsbegäran.docx", "A 16478-2025")</f>
        <v/>
      </c>
      <c r="Y38">
        <f>HYPERLINK("https://klasma.github.io/Logging_0181/tillsynsmail/A 16478-2025 tillsynsbegäran mail.docx", "A 16478-2025")</f>
        <v/>
      </c>
    </row>
    <row r="39" ht="15" customHeight="1">
      <c r="A39" t="inlineStr">
        <is>
          <t>A 26902-2024</t>
        </is>
      </c>
      <c r="B39" s="1" t="n">
        <v>45470</v>
      </c>
      <c r="C39" s="1" t="n">
        <v>46188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Persiljespindling</t>
        </is>
      </c>
      <c r="S39">
        <f>HYPERLINK("https://klasma.github.io/Logging_0181/artfynd/A 26902-2024 artfynd.xlsx", "A 26902-2024")</f>
        <v/>
      </c>
      <c r="T39">
        <f>HYPERLINK("https://klasma.github.io/Logging_0181/kartor/A 26902-2024 karta.png", "A 26902-2024")</f>
        <v/>
      </c>
      <c r="V39">
        <f>HYPERLINK("https://klasma.github.io/Logging_0181/klagomål/A 26902-2024 FSC-klagomål.docx", "A 26902-2024")</f>
        <v/>
      </c>
      <c r="W39">
        <f>HYPERLINK("https://klasma.github.io/Logging_0181/klagomålsmail/A 26902-2024 FSC-klagomål mail.docx", "A 26902-2024")</f>
        <v/>
      </c>
      <c r="X39">
        <f>HYPERLINK("https://klasma.github.io/Logging_0181/tillsyn/A 26902-2024 tillsynsbegäran.docx", "A 26902-2024")</f>
        <v/>
      </c>
      <c r="Y39">
        <f>HYPERLINK("https://klasma.github.io/Logging_0181/tillsynsmail/A 26902-2024 tillsynsbegäran mail.docx", "A 26902-2024")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46188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46188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14.4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46188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46188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Tjockfotad fingersvamp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40751-2021</t>
        </is>
      </c>
      <c r="B44" s="1" t="n">
        <v>44420</v>
      </c>
      <c r="C44" s="1" t="n">
        <v>46188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64111-2021</t>
        </is>
      </c>
      <c r="B45" s="1" t="n">
        <v>44509</v>
      </c>
      <c r="C45" s="1" t="n">
        <v>46188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52541-2022</t>
        </is>
      </c>
      <c r="B46" s="1" t="n">
        <v>44874</v>
      </c>
      <c r="C46" s="1" t="n">
        <v>46188</v>
      </c>
      <c r="D46" t="inlineStr">
        <is>
          <t>STOCKHOLMS LÄN</t>
        </is>
      </c>
      <c r="E46" t="inlineStr">
        <is>
          <t>SÖDERTÄLJE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52214-2021</t>
        </is>
      </c>
      <c r="B47" s="1" t="n">
        <v>44462</v>
      </c>
      <c r="C47" s="1" t="n">
        <v>46188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3596-2022</t>
        </is>
      </c>
      <c r="B48" s="1" t="n">
        <v>44586</v>
      </c>
      <c r="C48" s="1" t="n">
        <v>46188</v>
      </c>
      <c r="D48" t="inlineStr">
        <is>
          <t>STOCKHOLMS LÄN</t>
        </is>
      </c>
      <c r="E48" t="inlineStr">
        <is>
          <t>SÖDERTÄLJE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46188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51454-2021</t>
        </is>
      </c>
      <c r="B50" s="1" t="n">
        <v>44460</v>
      </c>
      <c r="C50" s="1" t="n">
        <v>46188</v>
      </c>
      <c r="D50" t="inlineStr">
        <is>
          <t>STOCKHOLMS LÄN</t>
        </is>
      </c>
      <c r="E50" t="inlineStr">
        <is>
          <t>SÖDERTÄLJE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46188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39133-2021</t>
        </is>
      </c>
      <c r="B52" s="1" t="n">
        <v>44412</v>
      </c>
      <c r="C52" s="1" t="n">
        <v>46188</v>
      </c>
      <c r="D52" t="inlineStr">
        <is>
          <t>STOCKHOLMS LÄN</t>
        </is>
      </c>
      <c r="E52" t="inlineStr">
        <is>
          <t>SÖDERTÄLJE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46188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46188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31429-2022</t>
        </is>
      </c>
      <c r="B55" s="1" t="n">
        <v>44774.85231481482</v>
      </c>
      <c r="C55" s="1" t="n">
        <v>46188</v>
      </c>
      <c r="D55" t="inlineStr">
        <is>
          <t>STOCKHOLMS LÄN</t>
        </is>
      </c>
      <c r="E55" t="inlineStr">
        <is>
          <t>SÖDERTÄLJE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51482-2021</t>
        </is>
      </c>
      <c r="B56" s="1" t="n">
        <v>44460</v>
      </c>
      <c r="C56" s="1" t="n">
        <v>46188</v>
      </c>
      <c r="D56" t="inlineStr">
        <is>
          <t>STOCKHOLMS LÄN</t>
        </is>
      </c>
      <c r="E56" t="inlineStr">
        <is>
          <t>SÖDERTÄLJE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46688-2021</t>
        </is>
      </c>
      <c r="B57" s="1" t="n">
        <v>44445.63403935185</v>
      </c>
      <c r="C57" s="1" t="n">
        <v>46188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3585-2022</t>
        </is>
      </c>
      <c r="B58" s="1" t="n">
        <v>44586</v>
      </c>
      <c r="C58" s="1" t="n">
        <v>46188</v>
      </c>
      <c r="D58" t="inlineStr">
        <is>
          <t>STOCKHOLMS LÄN</t>
        </is>
      </c>
      <c r="E58" t="inlineStr">
        <is>
          <t>SÖDERTÄLJE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62311-2023</t>
        </is>
      </c>
      <c r="B59" s="1" t="n">
        <v>45266</v>
      </c>
      <c r="C59" s="1" t="n">
        <v>46188</v>
      </c>
      <c r="D59" t="inlineStr">
        <is>
          <t>STOCKHOLMS LÄN</t>
        </is>
      </c>
      <c r="E59" t="inlineStr">
        <is>
          <t>SÖDERTÄLJE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58928-2022</t>
        </is>
      </c>
      <c r="B60" s="1" t="n">
        <v>44903</v>
      </c>
      <c r="C60" s="1" t="n">
        <v>46188</v>
      </c>
      <c r="D60" t="inlineStr">
        <is>
          <t>STOCKHOLMS LÄN</t>
        </is>
      </c>
      <c r="E60" t="inlineStr">
        <is>
          <t>SÖDERTÄLJE</t>
        </is>
      </c>
      <c r="F60" t="inlineStr">
        <is>
          <t>Kommuner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48342-2025</t>
        </is>
      </c>
      <c r="B61" s="1" t="n">
        <v>45933</v>
      </c>
      <c r="C61" s="1" t="n">
        <v>46188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48046-2025</t>
        </is>
      </c>
      <c r="B62" s="1" t="n">
        <v>45932.67148148148</v>
      </c>
      <c r="C62" s="1" t="n">
        <v>46188</v>
      </c>
      <c r="D62" t="inlineStr">
        <is>
          <t>STOCKHOLMS LÄN</t>
        </is>
      </c>
      <c r="E62" t="inlineStr">
        <is>
          <t>SÖDERTÄLJE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23367-2024</t>
        </is>
      </c>
      <c r="B63" s="1" t="n">
        <v>45453</v>
      </c>
      <c r="C63" s="1" t="n">
        <v>46188</v>
      </c>
      <c r="D63" t="inlineStr">
        <is>
          <t>STOCKHOLMS LÄN</t>
        </is>
      </c>
      <c r="E63" t="inlineStr">
        <is>
          <t>SÖDERTÄLJE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9891-2025</t>
        </is>
      </c>
      <c r="B64" s="1" t="n">
        <v>45716.70479166666</v>
      </c>
      <c r="C64" s="1" t="n">
        <v>46188</v>
      </c>
      <c r="D64" t="inlineStr">
        <is>
          <t>STOCKHOLMS LÄN</t>
        </is>
      </c>
      <c r="E64" t="inlineStr">
        <is>
          <t>SÖDERTÄLJE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27970-2022</t>
        </is>
      </c>
      <c r="B65" s="1" t="n">
        <v>44744</v>
      </c>
      <c r="C65" s="1" t="n">
        <v>46188</v>
      </c>
      <c r="D65" t="inlineStr">
        <is>
          <t>STOCKHOLMS LÄN</t>
        </is>
      </c>
      <c r="E65" t="inlineStr">
        <is>
          <t>SÖDERTÄLJE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27972-2022</t>
        </is>
      </c>
      <c r="B66" s="1" t="n">
        <v>44744</v>
      </c>
      <c r="C66" s="1" t="n">
        <v>46188</v>
      </c>
      <c r="D66" t="inlineStr">
        <is>
          <t>STOCKHOLMS LÄN</t>
        </is>
      </c>
      <c r="E66" t="inlineStr">
        <is>
          <t>SÖDERTÄLJE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41702-2025</t>
        </is>
      </c>
      <c r="B67" s="1" t="n">
        <v>45902.41623842593</v>
      </c>
      <c r="C67" s="1" t="n">
        <v>46188</v>
      </c>
      <c r="D67" t="inlineStr">
        <is>
          <t>STOCKHOLMS LÄN</t>
        </is>
      </c>
      <c r="E67" t="inlineStr">
        <is>
          <t>SÖDERTÄLJE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33892-2022</t>
        </is>
      </c>
      <c r="B68" s="1" t="n">
        <v>44790.60921296296</v>
      </c>
      <c r="C68" s="1" t="n">
        <v>46188</v>
      </c>
      <c r="D68" t="inlineStr">
        <is>
          <t>STOCKHOLMS LÄN</t>
        </is>
      </c>
      <c r="E68" t="inlineStr">
        <is>
          <t>SÖDERTÄLJE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47977-2022</t>
        </is>
      </c>
      <c r="B69" s="1" t="n">
        <v>44855</v>
      </c>
      <c r="C69" s="1" t="n">
        <v>46188</v>
      </c>
      <c r="D69" t="inlineStr">
        <is>
          <t>STOCKHOLMS LÄN</t>
        </is>
      </c>
      <c r="E69" t="inlineStr">
        <is>
          <t>SÖDERTÄLJE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17979-2024</t>
        </is>
      </c>
      <c r="B70" s="1" t="n">
        <v>45419.86915509259</v>
      </c>
      <c r="C70" s="1" t="n">
        <v>46188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19210-2024</t>
        </is>
      </c>
      <c r="B71" s="1" t="n">
        <v>45428.54665509259</v>
      </c>
      <c r="C71" s="1" t="n">
        <v>46188</v>
      </c>
      <c r="D71" t="inlineStr">
        <is>
          <t>STOCKHOLMS LÄN</t>
        </is>
      </c>
      <c r="E71" t="inlineStr">
        <is>
          <t>SÖDERTÄLJE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11319-2024</t>
        </is>
      </c>
      <c r="B72" s="1" t="n">
        <v>45371.91613425926</v>
      </c>
      <c r="C72" s="1" t="n">
        <v>46188</v>
      </c>
      <c r="D72" t="inlineStr">
        <is>
          <t>STOCKHOLMS LÄN</t>
        </is>
      </c>
      <c r="E72" t="inlineStr">
        <is>
          <t>SÖDERTÄLJE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46671-2021</t>
        </is>
      </c>
      <c r="B73" s="1" t="n">
        <v>44445</v>
      </c>
      <c r="C73" s="1" t="n">
        <v>46188</v>
      </c>
      <c r="D73" t="inlineStr">
        <is>
          <t>STOCKHOLMS LÄN</t>
        </is>
      </c>
      <c r="E73" t="inlineStr">
        <is>
          <t>SÖDERTÄLJE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56349-2023</t>
        </is>
      </c>
      <c r="B74" s="1" t="n">
        <v>45243</v>
      </c>
      <c r="C74" s="1" t="n">
        <v>46188</v>
      </c>
      <c r="D74" t="inlineStr">
        <is>
          <t>STOCKHOLMS LÄN</t>
        </is>
      </c>
      <c r="E74" t="inlineStr">
        <is>
          <t>SÖDERTÄLJE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41111-2023</t>
        </is>
      </c>
      <c r="B75" s="1" t="n">
        <v>45173.74025462963</v>
      </c>
      <c r="C75" s="1" t="n">
        <v>46188</v>
      </c>
      <c r="D75" t="inlineStr">
        <is>
          <t>STOCKHOLMS LÄN</t>
        </is>
      </c>
      <c r="E75" t="inlineStr">
        <is>
          <t>SÖDERTÄLJE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41115-2023</t>
        </is>
      </c>
      <c r="B76" s="1" t="n">
        <v>45173</v>
      </c>
      <c r="C76" s="1" t="n">
        <v>46188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3382-2024</t>
        </is>
      </c>
      <c r="B77" s="1" t="n">
        <v>45317</v>
      </c>
      <c r="C77" s="1" t="n">
        <v>46188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27969-2022</t>
        </is>
      </c>
      <c r="B78" s="1" t="n">
        <v>44744</v>
      </c>
      <c r="C78" s="1" t="n">
        <v>46188</v>
      </c>
      <c r="D78" t="inlineStr">
        <is>
          <t>STOCKHOLMS LÄN</t>
        </is>
      </c>
      <c r="E78" t="inlineStr">
        <is>
          <t>SÖDERTÄLJE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60897-2025</t>
        </is>
      </c>
      <c r="B79" s="1" t="n">
        <v>45999.58038194444</v>
      </c>
      <c r="C79" s="1" t="n">
        <v>46188</v>
      </c>
      <c r="D79" t="inlineStr">
        <is>
          <t>STOCKHOLMS LÄN</t>
        </is>
      </c>
      <c r="E79" t="inlineStr">
        <is>
          <t>SÖDERTÄLJE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62047-2025</t>
        </is>
      </c>
      <c r="B80" s="1" t="n">
        <v>46006.30792824074</v>
      </c>
      <c r="C80" s="1" t="n">
        <v>46188</v>
      </c>
      <c r="D80" t="inlineStr">
        <is>
          <t>STOCKHOLMS LÄN</t>
        </is>
      </c>
      <c r="E80" t="inlineStr">
        <is>
          <t>SÖDERTÄLJE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62049-2025</t>
        </is>
      </c>
      <c r="B81" s="1" t="n">
        <v>46006.3159837963</v>
      </c>
      <c r="C81" s="1" t="n">
        <v>46188</v>
      </c>
      <c r="D81" t="inlineStr">
        <is>
          <t>STOCKHOLMS LÄN</t>
        </is>
      </c>
      <c r="E81" t="inlineStr">
        <is>
          <t>SÖDERTÄLJE</t>
        </is>
      </c>
      <c r="G81" t="n">
        <v>10.4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234-2026</t>
        </is>
      </c>
      <c r="B82" s="1" t="n">
        <v>46027.36018518519</v>
      </c>
      <c r="C82" s="1" t="n">
        <v>46188</v>
      </c>
      <c r="D82" t="inlineStr">
        <is>
          <t>STOCKHOLMS LÄN</t>
        </is>
      </c>
      <c r="E82" t="inlineStr">
        <is>
          <t>SÖDERTÄLJE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243-2026</t>
        </is>
      </c>
      <c r="B83" s="1" t="n">
        <v>46027.39109953704</v>
      </c>
      <c r="C83" s="1" t="n">
        <v>46188</v>
      </c>
      <c r="D83" t="inlineStr">
        <is>
          <t>STOCKHOLMS LÄN</t>
        </is>
      </c>
      <c r="E83" t="inlineStr">
        <is>
          <t>SÖDERTÄLJE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231-2026</t>
        </is>
      </c>
      <c r="B84" s="1" t="n">
        <v>46027.34201388889</v>
      </c>
      <c r="C84" s="1" t="n">
        <v>46188</v>
      </c>
      <c r="D84" t="inlineStr">
        <is>
          <t>STOCKHOLMS LÄN</t>
        </is>
      </c>
      <c r="E84" t="inlineStr">
        <is>
          <t>SÖDERTÄLJE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233-2026</t>
        </is>
      </c>
      <c r="B85" s="1" t="n">
        <v>46027.34767361111</v>
      </c>
      <c r="C85" s="1" t="n">
        <v>46188</v>
      </c>
      <c r="D85" t="inlineStr">
        <is>
          <t>STOCKHOLMS LÄN</t>
        </is>
      </c>
      <c r="E85" t="inlineStr">
        <is>
          <t>SÖDERTÄLJE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51353-2024</t>
        </is>
      </c>
      <c r="B86" s="1" t="n">
        <v>45604.36140046296</v>
      </c>
      <c r="C86" s="1" t="n">
        <v>46188</v>
      </c>
      <c r="D86" t="inlineStr">
        <is>
          <t>STOCKHOLMS LÄN</t>
        </is>
      </c>
      <c r="E86" t="inlineStr">
        <is>
          <t>SÖDERTÄLJE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1150-2026</t>
        </is>
      </c>
      <c r="B87" s="1" t="n">
        <v>46030.98674768519</v>
      </c>
      <c r="C87" s="1" t="n">
        <v>46188</v>
      </c>
      <c r="D87" t="inlineStr">
        <is>
          <t>STOCKHOLMS LÄN</t>
        </is>
      </c>
      <c r="E87" t="inlineStr">
        <is>
          <t>SÖDERTÄLJE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28981-2023</t>
        </is>
      </c>
      <c r="B88" s="1" t="n">
        <v>45104</v>
      </c>
      <c r="C88" s="1" t="n">
        <v>46188</v>
      </c>
      <c r="D88" t="inlineStr">
        <is>
          <t>STOCKHOLMS LÄN</t>
        </is>
      </c>
      <c r="E88" t="inlineStr">
        <is>
          <t>SÖDERTÄLJE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1696-2026</t>
        </is>
      </c>
      <c r="B89" s="1" t="n">
        <v>46034.59373842592</v>
      </c>
      <c r="C89" s="1" t="n">
        <v>46188</v>
      </c>
      <c r="D89" t="inlineStr">
        <is>
          <t>STOCKHOLMS LÄN</t>
        </is>
      </c>
      <c r="E89" t="inlineStr">
        <is>
          <t>SÖDERTÄLJE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1715-2026</t>
        </is>
      </c>
      <c r="B90" s="1" t="n">
        <v>46034.60863425926</v>
      </c>
      <c r="C90" s="1" t="n">
        <v>46188</v>
      </c>
      <c r="D90" t="inlineStr">
        <is>
          <t>STOCKHOLMS LÄN</t>
        </is>
      </c>
      <c r="E90" t="inlineStr">
        <is>
          <t>SÖDERTÄLJE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2685-2026</t>
        </is>
      </c>
      <c r="B91" s="1" t="n">
        <v>46037.65710648148</v>
      </c>
      <c r="C91" s="1" t="n">
        <v>46188</v>
      </c>
      <c r="D91" t="inlineStr">
        <is>
          <t>STOCKHOLMS LÄN</t>
        </is>
      </c>
      <c r="E91" t="inlineStr">
        <is>
          <t>SÖDERTÄLJE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52101-2022</t>
        </is>
      </c>
      <c r="B92" s="1" t="n">
        <v>44873</v>
      </c>
      <c r="C92" s="1" t="n">
        <v>46188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42133-2023</t>
        </is>
      </c>
      <c r="B93" s="1" t="n">
        <v>45177.83136574074</v>
      </c>
      <c r="C93" s="1" t="n">
        <v>46188</v>
      </c>
      <c r="D93" t="inlineStr">
        <is>
          <t>STOCKHOLMS LÄN</t>
        </is>
      </c>
      <c r="E93" t="inlineStr">
        <is>
          <t>SÖDERTÄLJE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37844-2022</t>
        </is>
      </c>
      <c r="B94" s="1" t="n">
        <v>44810</v>
      </c>
      <c r="C94" s="1" t="n">
        <v>46188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36886-2023</t>
        </is>
      </c>
      <c r="B95" s="1" t="n">
        <v>45154</v>
      </c>
      <c r="C95" s="1" t="n">
        <v>46188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4443-2023</t>
        </is>
      </c>
      <c r="B96" s="1" t="n">
        <v>44956.45393518519</v>
      </c>
      <c r="C96" s="1" t="n">
        <v>46188</v>
      </c>
      <c r="D96" t="inlineStr">
        <is>
          <t>STOCKHOLMS LÄN</t>
        </is>
      </c>
      <c r="E96" t="inlineStr">
        <is>
          <t>SÖDERTÄLJE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7023-2026</t>
        </is>
      </c>
      <c r="B97" s="1" t="n">
        <v>46057.66645833333</v>
      </c>
      <c r="C97" s="1" t="n">
        <v>46188</v>
      </c>
      <c r="D97" t="inlineStr">
        <is>
          <t>STOCKHOLMS LÄN</t>
        </is>
      </c>
      <c r="E97" t="inlineStr">
        <is>
          <t>SÖDERTÄLJE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32044-2023</t>
        </is>
      </c>
      <c r="B98" s="1" t="n">
        <v>45119</v>
      </c>
      <c r="C98" s="1" t="n">
        <v>46188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55941-2023</t>
        </is>
      </c>
      <c r="B99" s="1" t="n">
        <v>45240</v>
      </c>
      <c r="C99" s="1" t="n">
        <v>46188</v>
      </c>
      <c r="D99" t="inlineStr">
        <is>
          <t>STOCKHOLMS LÄN</t>
        </is>
      </c>
      <c r="E99" t="inlineStr">
        <is>
          <t>SÖDERTÄLJE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28982-2024</t>
        </is>
      </c>
      <c r="B100" s="1" t="n">
        <v>45481.47568287037</v>
      </c>
      <c r="C100" s="1" t="n">
        <v>46188</v>
      </c>
      <c r="D100" t="inlineStr">
        <is>
          <t>STOCKHOLMS LÄN</t>
        </is>
      </c>
      <c r="E100" t="inlineStr">
        <is>
          <t>SÖDERTÄLJE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3152-2026</t>
        </is>
      </c>
      <c r="B101" s="1" t="n">
        <v>46041</v>
      </c>
      <c r="C101" s="1" t="n">
        <v>46188</v>
      </c>
      <c r="D101" t="inlineStr">
        <is>
          <t>STOCKHOLMS LÄN</t>
        </is>
      </c>
      <c r="E101" t="inlineStr">
        <is>
          <t>SÖDERTÄLJE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9234-2026</t>
        </is>
      </c>
      <c r="B102" s="1" t="n">
        <v>46070.46931712963</v>
      </c>
      <c r="C102" s="1" t="n">
        <v>46188</v>
      </c>
      <c r="D102" t="inlineStr">
        <is>
          <t>STOCKHOLMS LÄN</t>
        </is>
      </c>
      <c r="E102" t="inlineStr">
        <is>
          <t>SÖDERTÄLJE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92-2024</t>
        </is>
      </c>
      <c r="B103" s="1" t="n">
        <v>45293</v>
      </c>
      <c r="C103" s="1" t="n">
        <v>46188</v>
      </c>
      <c r="D103" t="inlineStr">
        <is>
          <t>STOCKHOLMS LÄN</t>
        </is>
      </c>
      <c r="E103" t="inlineStr">
        <is>
          <t>SÖDERTÄLJE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12907-2024</t>
        </is>
      </c>
      <c r="B104" s="1" t="n">
        <v>45385</v>
      </c>
      <c r="C104" s="1" t="n">
        <v>46188</v>
      </c>
      <c r="D104" t="inlineStr">
        <is>
          <t>STOCKHOLMS LÄN</t>
        </is>
      </c>
      <c r="E104" t="inlineStr">
        <is>
          <t>SÖDERTÄLJE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26909-2024</t>
        </is>
      </c>
      <c r="B105" s="1" t="n">
        <v>45470</v>
      </c>
      <c r="C105" s="1" t="n">
        <v>46188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10327-2026</t>
        </is>
      </c>
      <c r="B106" s="1" t="n">
        <v>46076.66210648148</v>
      </c>
      <c r="C106" s="1" t="n">
        <v>46188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10414-2026</t>
        </is>
      </c>
      <c r="B107" s="1" t="n">
        <v>46077.34652777778</v>
      </c>
      <c r="C107" s="1" t="n">
        <v>46188</v>
      </c>
      <c r="D107" t="inlineStr">
        <is>
          <t>STOCKHOLMS LÄN</t>
        </is>
      </c>
      <c r="E107" t="inlineStr">
        <is>
          <t>SÖDERTÄLJE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10426-2026</t>
        </is>
      </c>
      <c r="B108" s="1" t="n">
        <v>46077.37449074074</v>
      </c>
      <c r="C108" s="1" t="n">
        <v>46188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10446-2026</t>
        </is>
      </c>
      <c r="B109" s="1" t="n">
        <v>46077.43023148148</v>
      </c>
      <c r="C109" s="1" t="n">
        <v>46188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10417-2026</t>
        </is>
      </c>
      <c r="B110" s="1" t="n">
        <v>46077.35170138889</v>
      </c>
      <c r="C110" s="1" t="n">
        <v>46188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10425-2026</t>
        </is>
      </c>
      <c r="B111" s="1" t="n">
        <v>46077.36981481482</v>
      </c>
      <c r="C111" s="1" t="n">
        <v>46188</v>
      </c>
      <c r="D111" t="inlineStr">
        <is>
          <t>STOCKHOLMS LÄN</t>
        </is>
      </c>
      <c r="E111" t="inlineStr">
        <is>
          <t>SÖDERTÄLJE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10450-2026</t>
        </is>
      </c>
      <c r="B112" s="1" t="n">
        <v>46077.43619212963</v>
      </c>
      <c r="C112" s="1" t="n">
        <v>46188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28502-2023</t>
        </is>
      </c>
      <c r="B113" s="1" t="n">
        <v>45103</v>
      </c>
      <c r="C113" s="1" t="n">
        <v>46188</v>
      </c>
      <c r="D113" t="inlineStr">
        <is>
          <t>STOCKHOLMS LÄN</t>
        </is>
      </c>
      <c r="E113" t="inlineStr">
        <is>
          <t>SÖDERTÄLJE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10452-2026</t>
        </is>
      </c>
      <c r="B114" s="1" t="n">
        <v>46077.43957175926</v>
      </c>
      <c r="C114" s="1" t="n">
        <v>46188</v>
      </c>
      <c r="D114" t="inlineStr">
        <is>
          <t>STOCKHOLMS LÄN</t>
        </is>
      </c>
      <c r="E114" t="inlineStr">
        <is>
          <t>SÖDERTÄLJE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10404-2026</t>
        </is>
      </c>
      <c r="B115" s="1" t="n">
        <v>46077.34288194445</v>
      </c>
      <c r="C115" s="1" t="n">
        <v>46188</v>
      </c>
      <c r="D115" t="inlineStr">
        <is>
          <t>STOCKHOLMS LÄN</t>
        </is>
      </c>
      <c r="E115" t="inlineStr">
        <is>
          <t>SÖDERTÄLJE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10428-2026</t>
        </is>
      </c>
      <c r="B116" s="1" t="n">
        <v>46077.37820601852</v>
      </c>
      <c r="C116" s="1" t="n">
        <v>46188</v>
      </c>
      <c r="D116" t="inlineStr">
        <is>
          <t>STOCKHOLMS LÄN</t>
        </is>
      </c>
      <c r="E116" t="inlineStr">
        <is>
          <t>SÖDERTÄLJE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9562-2025</t>
        </is>
      </c>
      <c r="B117" s="1" t="n">
        <v>45715.61215277778</v>
      </c>
      <c r="C117" s="1" t="n">
        <v>46188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8611-2023</t>
        </is>
      </c>
      <c r="B118" s="1" t="n">
        <v>44977</v>
      </c>
      <c r="C118" s="1" t="n">
        <v>46188</v>
      </c>
      <c r="D118" t="inlineStr">
        <is>
          <t>STOCKHOLMS LÄN</t>
        </is>
      </c>
      <c r="E118" t="inlineStr">
        <is>
          <t>SÖDERTÄLJE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3108-2024</t>
        </is>
      </c>
      <c r="B119" s="1" t="n">
        <v>45316</v>
      </c>
      <c r="C119" s="1" t="n">
        <v>46188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42337-2024</t>
        </is>
      </c>
      <c r="B120" s="1" t="n">
        <v>45562</v>
      </c>
      <c r="C120" s="1" t="n">
        <v>46188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12116-2026</t>
        </is>
      </c>
      <c r="B121" s="1" t="n">
        <v>46086.54368055556</v>
      </c>
      <c r="C121" s="1" t="n">
        <v>46188</v>
      </c>
      <c r="D121" t="inlineStr">
        <is>
          <t>STOCKHOLMS LÄN</t>
        </is>
      </c>
      <c r="E121" t="inlineStr">
        <is>
          <t>SÖDERTÄLJE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12121-2026</t>
        </is>
      </c>
      <c r="B122" s="1" t="n">
        <v>46086.54655092592</v>
      </c>
      <c r="C122" s="1" t="n">
        <v>46188</v>
      </c>
      <c r="D122" t="inlineStr">
        <is>
          <t>STOCKHOLMS LÄN</t>
        </is>
      </c>
      <c r="E122" t="inlineStr">
        <is>
          <t>SÖDERTÄLJE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18592-2023</t>
        </is>
      </c>
      <c r="B123" s="1" t="n">
        <v>45043</v>
      </c>
      <c r="C123" s="1" t="n">
        <v>46188</v>
      </c>
      <c r="D123" t="inlineStr">
        <is>
          <t>STOCKHOLMS LÄN</t>
        </is>
      </c>
      <c r="E123" t="inlineStr">
        <is>
          <t>SÖDERTÄLJE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1381-2023</t>
        </is>
      </c>
      <c r="B124" s="1" t="n">
        <v>44936.68457175926</v>
      </c>
      <c r="C124" s="1" t="n">
        <v>46188</v>
      </c>
      <c r="D124" t="inlineStr">
        <is>
          <t>STOCKHOLMS LÄN</t>
        </is>
      </c>
      <c r="E124" t="inlineStr">
        <is>
          <t>SÖDERTÄLJE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56354-2023</t>
        </is>
      </c>
      <c r="B125" s="1" t="n">
        <v>45243</v>
      </c>
      <c r="C125" s="1" t="n">
        <v>46188</v>
      </c>
      <c r="D125" t="inlineStr">
        <is>
          <t>STOCKHOLMS LÄN</t>
        </is>
      </c>
      <c r="E125" t="inlineStr">
        <is>
          <t>SÖDERTÄLJE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31375-2024</t>
        </is>
      </c>
      <c r="B126" s="1" t="n">
        <v>45505</v>
      </c>
      <c r="C126" s="1" t="n">
        <v>46188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50059-2021</t>
        </is>
      </c>
      <c r="B127" s="1" t="n">
        <v>44455</v>
      </c>
      <c r="C127" s="1" t="n">
        <v>46188</v>
      </c>
      <c r="D127" t="inlineStr">
        <is>
          <t>STOCKHOLMS LÄN</t>
        </is>
      </c>
      <c r="E127" t="inlineStr">
        <is>
          <t>SÖDERTÄLJE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13943-2026</t>
        </is>
      </c>
      <c r="B128" s="1" t="n">
        <v>46098.53907407408</v>
      </c>
      <c r="C128" s="1" t="n">
        <v>46188</v>
      </c>
      <c r="D128" t="inlineStr">
        <is>
          <t>STOCKHOLMS LÄN</t>
        </is>
      </c>
      <c r="E128" t="inlineStr">
        <is>
          <t>SÖDERTÄLJE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954-2023</t>
        </is>
      </c>
      <c r="B129" s="1" t="n">
        <v>44934.7921875</v>
      </c>
      <c r="C129" s="1" t="n">
        <v>46188</v>
      </c>
      <c r="D129" t="inlineStr">
        <is>
          <t>STOCKHOLMS LÄN</t>
        </is>
      </c>
      <c r="E129" t="inlineStr">
        <is>
          <t>SÖDERTÄLJE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35200-2023</t>
        </is>
      </c>
      <c r="B130" s="1" t="n">
        <v>45145</v>
      </c>
      <c r="C130" s="1" t="n">
        <v>46188</v>
      </c>
      <c r="D130" t="inlineStr">
        <is>
          <t>STOCKHOLMS LÄN</t>
        </is>
      </c>
      <c r="E130" t="inlineStr">
        <is>
          <t>SÖDERTÄLJE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15964-2026</t>
        </is>
      </c>
      <c r="B131" s="1" t="n">
        <v>46108.33048611111</v>
      </c>
      <c r="C131" s="1" t="n">
        <v>46188</v>
      </c>
      <c r="D131" t="inlineStr">
        <is>
          <t>STOCKHOLMS LÄN</t>
        </is>
      </c>
      <c r="E131" t="inlineStr">
        <is>
          <t>SÖDERTÄLJE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21483-2026</t>
        </is>
      </c>
      <c r="B132" s="1" t="n">
        <v>46148</v>
      </c>
      <c r="C132" s="1" t="n">
        <v>46188</v>
      </c>
      <c r="D132" t="inlineStr">
        <is>
          <t>STOCKHOLMS LÄN</t>
        </is>
      </c>
      <c r="E132" t="inlineStr">
        <is>
          <t>SÖDERTÄLJE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58140-2023</t>
        </is>
      </c>
      <c r="B133" s="1" t="n">
        <v>45250</v>
      </c>
      <c r="C133" s="1" t="n">
        <v>46188</v>
      </c>
      <c r="D133" t="inlineStr">
        <is>
          <t>STOCKHOLMS LÄN</t>
        </is>
      </c>
      <c r="E133" t="inlineStr">
        <is>
          <t>SÖDERTÄLJE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314-2022</t>
        </is>
      </c>
      <c r="B134" s="1" t="n">
        <v>44564</v>
      </c>
      <c r="C134" s="1" t="n">
        <v>46188</v>
      </c>
      <c r="D134" t="inlineStr">
        <is>
          <t>STOCKHOLMS LÄN</t>
        </is>
      </c>
      <c r="E134" t="inlineStr">
        <is>
          <t>SÖDERTÄLJE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487-2024</t>
        </is>
      </c>
      <c r="B135" s="1" t="n">
        <v>45298.85216435185</v>
      </c>
      <c r="C135" s="1" t="n">
        <v>46188</v>
      </c>
      <c r="D135" t="inlineStr">
        <is>
          <t>STOCKHOLMS LÄN</t>
        </is>
      </c>
      <c r="E135" t="inlineStr">
        <is>
          <t>SÖDERTÄLJE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23357-2026</t>
        </is>
      </c>
      <c r="B136" s="1" t="n">
        <v>46162.61582175926</v>
      </c>
      <c r="C136" s="1" t="n">
        <v>46188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23632-2026</t>
        </is>
      </c>
      <c r="B137" s="1" t="n">
        <v>46163.77383101852</v>
      </c>
      <c r="C137" s="1" t="n">
        <v>46188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Kyrkan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47576-2023</t>
        </is>
      </c>
      <c r="B138" s="1" t="n">
        <v>45197</v>
      </c>
      <c r="C138" s="1" t="n">
        <v>46188</v>
      </c>
      <c r="D138" t="inlineStr">
        <is>
          <t>STOCKHOLMS LÄN</t>
        </is>
      </c>
      <c r="E138" t="inlineStr">
        <is>
          <t>SÖDERTÄLJE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35906-2022</t>
        </is>
      </c>
      <c r="B139" s="1" t="n">
        <v>44802</v>
      </c>
      <c r="C139" s="1" t="n">
        <v>46188</v>
      </c>
      <c r="D139" t="inlineStr">
        <is>
          <t>STOCKHOLMS LÄN</t>
        </is>
      </c>
      <c r="E139" t="inlineStr">
        <is>
          <t>SÖDERTÄLJE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38194-2025</t>
        </is>
      </c>
      <c r="B140" s="1" t="n">
        <v>45882.65921296296</v>
      </c>
      <c r="C140" s="1" t="n">
        <v>46188</v>
      </c>
      <c r="D140" t="inlineStr">
        <is>
          <t>STOCKHOLMS LÄN</t>
        </is>
      </c>
      <c r="E140" t="inlineStr">
        <is>
          <t>SÖDERTÄLJE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52815-2023</t>
        </is>
      </c>
      <c r="B141" s="1" t="n">
        <v>45226</v>
      </c>
      <c r="C141" s="1" t="n">
        <v>46188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60635-2024</t>
        </is>
      </c>
      <c r="B142" s="1" t="n">
        <v>45644.41744212963</v>
      </c>
      <c r="C142" s="1" t="n">
        <v>46188</v>
      </c>
      <c r="D142" t="inlineStr">
        <is>
          <t>STOCKHOLMS LÄN</t>
        </is>
      </c>
      <c r="E142" t="inlineStr">
        <is>
          <t>SÖDERTÄLJE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19071-2026</t>
        </is>
      </c>
      <c r="B143" s="1" t="n">
        <v>46132.38078703704</v>
      </c>
      <c r="C143" s="1" t="n">
        <v>46188</v>
      </c>
      <c r="D143" t="inlineStr">
        <is>
          <t>STOCKHOLMS LÄN</t>
        </is>
      </c>
      <c r="E143" t="inlineStr">
        <is>
          <t>SÖDERTÄLJE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19078-2026</t>
        </is>
      </c>
      <c r="B144" s="1" t="n">
        <v>46132.38715277778</v>
      </c>
      <c r="C144" s="1" t="n">
        <v>46188</v>
      </c>
      <c r="D144" t="inlineStr">
        <is>
          <t>STOCKHOLMS LÄN</t>
        </is>
      </c>
      <c r="E144" t="inlineStr">
        <is>
          <t>SÖDERTÄLJE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25288-2026</t>
        </is>
      </c>
      <c r="B145" s="1" t="n">
        <v>46176.41239583334</v>
      </c>
      <c r="C145" s="1" t="n">
        <v>46188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Kommuner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10263-2025</t>
        </is>
      </c>
      <c r="B146" s="1" t="n">
        <v>45720.38165509259</v>
      </c>
      <c r="C146" s="1" t="n">
        <v>46188</v>
      </c>
      <c r="D146" t="inlineStr">
        <is>
          <t>STOCKHOLMS LÄN</t>
        </is>
      </c>
      <c r="E146" t="inlineStr">
        <is>
          <t>SÖDERTÄLJE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62311-2023</t>
        </is>
      </c>
      <c r="B147" s="1" t="n">
        <v>45266</v>
      </c>
      <c r="C147" s="1" t="n">
        <v>46188</v>
      </c>
      <c r="D147" t="inlineStr">
        <is>
          <t>STOCKHOLMS LÄN</t>
        </is>
      </c>
      <c r="E147" t="inlineStr">
        <is>
          <t>SÖDERTÄLJE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25706-2023</t>
        </is>
      </c>
      <c r="B148" s="1" t="n">
        <v>45090</v>
      </c>
      <c r="C148" s="1" t="n">
        <v>46188</v>
      </c>
      <c r="D148" t="inlineStr">
        <is>
          <t>STOCKHOLMS LÄN</t>
        </is>
      </c>
      <c r="E148" t="inlineStr">
        <is>
          <t>SÖDERTÄLJE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22-2024</t>
        </is>
      </c>
      <c r="B149" s="1" t="n">
        <v>45293.40865740741</v>
      </c>
      <c r="C149" s="1" t="n">
        <v>46188</v>
      </c>
      <c r="D149" t="inlineStr">
        <is>
          <t>STOCKHOLMS LÄN</t>
        </is>
      </c>
      <c r="E149" t="inlineStr">
        <is>
          <t>SÖDERTÄLJE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95-2024</t>
        </is>
      </c>
      <c r="B150" s="1" t="n">
        <v>45293</v>
      </c>
      <c r="C150" s="1" t="n">
        <v>46188</v>
      </c>
      <c r="D150" t="inlineStr">
        <is>
          <t>STOCKHOLMS LÄN</t>
        </is>
      </c>
      <c r="E150" t="inlineStr">
        <is>
          <t>SÖDERTÄLJE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49956-2022</t>
        </is>
      </c>
      <c r="B151" s="1" t="n">
        <v>44865.37130787037</v>
      </c>
      <c r="C151" s="1" t="n">
        <v>46188</v>
      </c>
      <c r="D151" t="inlineStr">
        <is>
          <t>STOCKHOLMS LÄN</t>
        </is>
      </c>
      <c r="E151" t="inlineStr">
        <is>
          <t>SÖDERTÄLJE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11343-2025</t>
        </is>
      </c>
      <c r="B152" s="1" t="n">
        <v>45726.49932870371</v>
      </c>
      <c r="C152" s="1" t="n">
        <v>46188</v>
      </c>
      <c r="D152" t="inlineStr">
        <is>
          <t>STOCKHOLMS LÄN</t>
        </is>
      </c>
      <c r="E152" t="inlineStr">
        <is>
          <t>SÖDERTÄLJE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54596-2024</t>
        </is>
      </c>
      <c r="B153" s="1" t="n">
        <v>45617.6762037037</v>
      </c>
      <c r="C153" s="1" t="n">
        <v>46188</v>
      </c>
      <c r="D153" t="inlineStr">
        <is>
          <t>STOCKHOLMS LÄN</t>
        </is>
      </c>
      <c r="E153" t="inlineStr">
        <is>
          <t>SÖDERTÄLJE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46188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45145-2022</t>
        </is>
      </c>
      <c r="B155" s="1" t="n">
        <v>44844</v>
      </c>
      <c r="C155" s="1" t="n">
        <v>46188</v>
      </c>
      <c r="D155" t="inlineStr">
        <is>
          <t>STOCKHOLMS LÄN</t>
        </is>
      </c>
      <c r="E155" t="inlineStr">
        <is>
          <t>SÖDERTÄLJE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25412-2025</t>
        </is>
      </c>
      <c r="B156" s="1" t="n">
        <v>45799</v>
      </c>
      <c r="C156" s="1" t="n">
        <v>46188</v>
      </c>
      <c r="D156" t="inlineStr">
        <is>
          <t>STOCKHOLMS LÄN</t>
        </is>
      </c>
      <c r="E156" t="inlineStr">
        <is>
          <t>SÖDERTÄLJE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42339-2024</t>
        </is>
      </c>
      <c r="B157" s="1" t="n">
        <v>45562</v>
      </c>
      <c r="C157" s="1" t="n">
        <v>46188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statliga verk och myndigheter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25415-2025</t>
        </is>
      </c>
      <c r="B158" s="1" t="n">
        <v>45799</v>
      </c>
      <c r="C158" s="1" t="n">
        <v>46188</v>
      </c>
      <c r="D158" t="inlineStr">
        <is>
          <t>STOCKHOLMS LÄN</t>
        </is>
      </c>
      <c r="E158" t="inlineStr">
        <is>
          <t>SÖDERTÄLJE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48820-2022</t>
        </is>
      </c>
      <c r="B159" s="1" t="n">
        <v>44859</v>
      </c>
      <c r="C159" s="1" t="n">
        <v>46188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34193-2024</t>
        </is>
      </c>
      <c r="B160" s="1" t="n">
        <v>45524.46203703704</v>
      </c>
      <c r="C160" s="1" t="n">
        <v>46188</v>
      </c>
      <c r="D160" t="inlineStr">
        <is>
          <t>STOCKHOLMS LÄN</t>
        </is>
      </c>
      <c r="E160" t="inlineStr">
        <is>
          <t>SÖDERTÄLJE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20603-2026</t>
        </is>
      </c>
      <c r="B161" s="1" t="n">
        <v>46140.67371527778</v>
      </c>
      <c r="C161" s="1" t="n">
        <v>46188</v>
      </c>
      <c r="D161" t="inlineStr">
        <is>
          <t>STOCKHOLMS LÄN</t>
        </is>
      </c>
      <c r="E161" t="inlineStr">
        <is>
          <t>SÖDERTÄLJE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26812-2022</t>
        </is>
      </c>
      <c r="B162" s="1" t="n">
        <v>44740</v>
      </c>
      <c r="C162" s="1" t="n">
        <v>46188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62320-2023</t>
        </is>
      </c>
      <c r="B163" s="1" t="n">
        <v>45267</v>
      </c>
      <c r="C163" s="1" t="n">
        <v>46188</v>
      </c>
      <c r="D163" t="inlineStr">
        <is>
          <t>STOCKHOLMS LÄN</t>
        </is>
      </c>
      <c r="E163" t="inlineStr">
        <is>
          <t>SÖDERTÄLJE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20582-2026</t>
        </is>
      </c>
      <c r="B164" s="1" t="n">
        <v>46140.63724537037</v>
      </c>
      <c r="C164" s="1" t="n">
        <v>46188</v>
      </c>
      <c r="D164" t="inlineStr">
        <is>
          <t>STOCKHOLMS LÄN</t>
        </is>
      </c>
      <c r="E164" t="inlineStr">
        <is>
          <t>SÖDERTÄLJE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20596-2026</t>
        </is>
      </c>
      <c r="B165" s="1" t="n">
        <v>46140.65876157407</v>
      </c>
      <c r="C165" s="1" t="n">
        <v>46188</v>
      </c>
      <c r="D165" t="inlineStr">
        <is>
          <t>STOCKHOLMS LÄN</t>
        </is>
      </c>
      <c r="E165" t="inlineStr">
        <is>
          <t>SÖDERTÄLJE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20579-2026</t>
        </is>
      </c>
      <c r="B166" s="1" t="n">
        <v>46140.63144675926</v>
      </c>
      <c r="C166" s="1" t="n">
        <v>46188</v>
      </c>
      <c r="D166" t="inlineStr">
        <is>
          <t>STOCKHOLMS LÄN</t>
        </is>
      </c>
      <c r="E166" t="inlineStr">
        <is>
          <t>SÖDERTÄLJE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20591-2026</t>
        </is>
      </c>
      <c r="B167" s="1" t="n">
        <v>46140.65243055556</v>
      </c>
      <c r="C167" s="1" t="n">
        <v>46188</v>
      </c>
      <c r="D167" t="inlineStr">
        <is>
          <t>STOCKHOLMS LÄN</t>
        </is>
      </c>
      <c r="E167" t="inlineStr">
        <is>
          <t>SÖDERTÄLJE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57884-2021</t>
        </is>
      </c>
      <c r="B168" s="1" t="n">
        <v>44485</v>
      </c>
      <c r="C168" s="1" t="n">
        <v>46188</v>
      </c>
      <c r="D168" t="inlineStr">
        <is>
          <t>STOCKHOLMS LÄN</t>
        </is>
      </c>
      <c r="E168" t="inlineStr">
        <is>
          <t>SÖDERTÄLJE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8323-2025</t>
        </is>
      </c>
      <c r="B169" s="1" t="n">
        <v>45708.6322337963</v>
      </c>
      <c r="C169" s="1" t="n">
        <v>46188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46188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27006-2026</t>
        </is>
      </c>
      <c r="B171" s="1" t="n">
        <v>46185.63237268518</v>
      </c>
      <c r="C171" s="1" t="n">
        <v>46188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1016-2022</t>
        </is>
      </c>
      <c r="B172" s="1" t="n">
        <v>44571</v>
      </c>
      <c r="C172" s="1" t="n">
        <v>46188</v>
      </c>
      <c r="D172" t="inlineStr">
        <is>
          <t>STOCKHOLMS LÄN</t>
        </is>
      </c>
      <c r="E172" t="inlineStr">
        <is>
          <t>SÖDERTÄLJE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35942-2022</t>
        </is>
      </c>
      <c r="B173" s="1" t="n">
        <v>44802</v>
      </c>
      <c r="C173" s="1" t="n">
        <v>46188</v>
      </c>
      <c r="D173" t="inlineStr">
        <is>
          <t>STOCKHOLMS LÄN</t>
        </is>
      </c>
      <c r="E173" t="inlineStr">
        <is>
          <t>SÖDERTÄLJE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3383-2024</t>
        </is>
      </c>
      <c r="B174" s="1" t="n">
        <v>45317</v>
      </c>
      <c r="C174" s="1" t="n">
        <v>46188</v>
      </c>
      <c r="D174" t="inlineStr">
        <is>
          <t>STOCKHOLMS LÄN</t>
        </is>
      </c>
      <c r="E174" t="inlineStr">
        <is>
          <t>SÖDERTÄLJE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46188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37842-2022</t>
        </is>
      </c>
      <c r="B176" s="1" t="n">
        <v>44810</v>
      </c>
      <c r="C176" s="1" t="n">
        <v>46188</v>
      </c>
      <c r="D176" t="inlineStr">
        <is>
          <t>STOCKHOLMS LÄN</t>
        </is>
      </c>
      <c r="E176" t="inlineStr">
        <is>
          <t>SÖDERTÄLJE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72218-2021</t>
        </is>
      </c>
      <c r="B177" s="1" t="n">
        <v>44544.76424768518</v>
      </c>
      <c r="C177" s="1" t="n">
        <v>46188</v>
      </c>
      <c r="D177" t="inlineStr">
        <is>
          <t>STOCKHOLMS LÄN</t>
        </is>
      </c>
      <c r="E177" t="inlineStr">
        <is>
          <t>SÖDERTÄLJE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49136-2021</t>
        </is>
      </c>
      <c r="B178" s="1" t="n">
        <v>44453.91797453703</v>
      </c>
      <c r="C178" s="1" t="n">
        <v>46188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45674-2021</t>
        </is>
      </c>
      <c r="B179" s="1" t="n">
        <v>44441</v>
      </c>
      <c r="C179" s="1" t="n">
        <v>46188</v>
      </c>
      <c r="D179" t="inlineStr">
        <is>
          <t>STOCKHOLMS LÄN</t>
        </is>
      </c>
      <c r="E179" t="inlineStr">
        <is>
          <t>SÖDERTÄLJE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20530-2024</t>
        </is>
      </c>
      <c r="B180" s="1" t="n">
        <v>45435</v>
      </c>
      <c r="C180" s="1" t="n">
        <v>46188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46188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55940-2023</t>
        </is>
      </c>
      <c r="B182" s="1" t="n">
        <v>45240.30215277777</v>
      </c>
      <c r="C182" s="1" t="n">
        <v>46188</v>
      </c>
      <c r="D182" t="inlineStr">
        <is>
          <t>STOCKHOLMS LÄN</t>
        </is>
      </c>
      <c r="E182" t="inlineStr">
        <is>
          <t>SÖDERTÄLJE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56596-2023</t>
        </is>
      </c>
      <c r="B183" s="1" t="n">
        <v>45243</v>
      </c>
      <c r="C183" s="1" t="n">
        <v>46188</v>
      </c>
      <c r="D183" t="inlineStr">
        <is>
          <t>STOCKHOLMS LÄN</t>
        </is>
      </c>
      <c r="E183" t="inlineStr">
        <is>
          <t>SÖDERTÄLJE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51931-2023</t>
        </is>
      </c>
      <c r="B184" s="1" t="n">
        <v>45216</v>
      </c>
      <c r="C184" s="1" t="n">
        <v>46188</v>
      </c>
      <c r="D184" t="inlineStr">
        <is>
          <t>STOCKHOLMS LÄN</t>
        </is>
      </c>
      <c r="E184" t="inlineStr">
        <is>
          <t>SÖDERTÄLJE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34194-2024</t>
        </is>
      </c>
      <c r="B185" s="1" t="n">
        <v>45524</v>
      </c>
      <c r="C185" s="1" t="n">
        <v>46188</v>
      </c>
      <c r="D185" t="inlineStr">
        <is>
          <t>STOCKHOLMS LÄN</t>
        </is>
      </c>
      <c r="E185" t="inlineStr">
        <is>
          <t>SÖDERTÄLJE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4440-2023</t>
        </is>
      </c>
      <c r="B186" s="1" t="n">
        <v>44956</v>
      </c>
      <c r="C186" s="1" t="n">
        <v>46188</v>
      </c>
      <c r="D186" t="inlineStr">
        <is>
          <t>STOCKHOLMS LÄN</t>
        </is>
      </c>
      <c r="E186" t="inlineStr">
        <is>
          <t>SÖDERTÄLJE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1759-2025</t>
        </is>
      </c>
      <c r="B187" s="1" t="n">
        <v>45671.42385416666</v>
      </c>
      <c r="C187" s="1" t="n">
        <v>46188</v>
      </c>
      <c r="D187" t="inlineStr">
        <is>
          <t>STOCKHOLMS LÄN</t>
        </is>
      </c>
      <c r="E187" t="inlineStr">
        <is>
          <t>SÖDERTÄLJE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45184-2022</t>
        </is>
      </c>
      <c r="B188" s="1" t="n">
        <v>44844.39888888889</v>
      </c>
      <c r="C188" s="1" t="n">
        <v>46188</v>
      </c>
      <c r="D188" t="inlineStr">
        <is>
          <t>STOCKHOLMS LÄN</t>
        </is>
      </c>
      <c r="E188" t="inlineStr">
        <is>
          <t>SÖDERTÄLJE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2529-2023</t>
        </is>
      </c>
      <c r="B189" s="1" t="n">
        <v>44943.60554398148</v>
      </c>
      <c r="C189" s="1" t="n">
        <v>46188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46188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37536-2024</t>
        </is>
      </c>
      <c r="B191" s="1" t="n">
        <v>45541</v>
      </c>
      <c r="C191" s="1" t="n">
        <v>46188</v>
      </c>
      <c r="D191" t="inlineStr">
        <is>
          <t>STOCKHOLMS LÄN</t>
        </is>
      </c>
      <c r="E191" t="inlineStr">
        <is>
          <t>SÖDERTÄLJE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35113-2023</t>
        </is>
      </c>
      <c r="B192" s="1" t="n">
        <v>45145</v>
      </c>
      <c r="C192" s="1" t="n">
        <v>46188</v>
      </c>
      <c r="D192" t="inlineStr">
        <is>
          <t>STOCKHOLMS LÄN</t>
        </is>
      </c>
      <c r="E192" t="inlineStr">
        <is>
          <t>SÖDERTÄLJE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2026-06-15T09:25:09Z</dcterms:created>
  <dcterms:modified xmlns:dcterms="http://purl.org/dc/terms/" xmlns:xsi="http://www.w3.org/2001/XMLSchema-instance" xsi:type="dcterms:W3CDTF">2026-06-15T09:25:09Z</dcterms:modified>
</cp:coreProperties>
</file>