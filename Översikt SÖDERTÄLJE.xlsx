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46040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46040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46040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46040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46040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46040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46040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46040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46040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46040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46040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46040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46040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46040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46040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46040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46040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36505-2025</t>
        </is>
      </c>
      <c r="B25" s="1" t="n">
        <v>45869.57192129629</v>
      </c>
      <c r="C25" s="1" t="n">
        <v>46040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36505-2025 artfynd.xlsx", "A 36505-2025")</f>
        <v/>
      </c>
      <c r="T25">
        <f>HYPERLINK("https://klasma.github.io/Logging_0181/kartor/A 36505-2025 karta.png", "A 36505-2025")</f>
        <v/>
      </c>
      <c r="V25">
        <f>HYPERLINK("https://klasma.github.io/Logging_0181/klagomål/A 36505-2025 FSC-klagomål.docx", "A 36505-2025")</f>
        <v/>
      </c>
      <c r="W25">
        <f>HYPERLINK("https://klasma.github.io/Logging_0181/klagomålsmail/A 36505-2025 FSC-klagomål mail.docx", "A 36505-2025")</f>
        <v/>
      </c>
      <c r="X25">
        <f>HYPERLINK("https://klasma.github.io/Logging_0181/tillsyn/A 36505-2025 tillsynsbegäran.docx", "A 36505-2025")</f>
        <v/>
      </c>
      <c r="Y25">
        <f>HYPERLINK("https://klasma.github.io/Logging_0181/tillsynsmail/A 36505-2025 tillsynsbegäran mail.docx", "A 36505-2025")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46040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46040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14092-2023</t>
        </is>
      </c>
      <c r="B28" s="1" t="n">
        <v>45009</v>
      </c>
      <c r="C28" s="1" t="n">
        <v>46040</v>
      </c>
      <c r="D28" t="inlineStr">
        <is>
          <t>STOCKHOLMS LÄN</t>
        </is>
      </c>
      <c r="E28" t="inlineStr">
        <is>
          <t>SÖDERTÄLJE</t>
        </is>
      </c>
      <c r="F28" t="inlineStr">
        <is>
          <t>Kyrkan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HYPERLINK("https://klasma.github.io/Logging_0181/artfynd/A 14092-2023 artfynd.xlsx", "A 14092-2023")</f>
        <v/>
      </c>
      <c r="T28">
        <f>HYPERLINK("https://klasma.github.io/Logging_0181/kartor/A 14092-2023 karta.png", "A 14092-2023")</f>
        <v/>
      </c>
      <c r="V28">
        <f>HYPERLINK("https://klasma.github.io/Logging_0181/klagomål/A 14092-2023 FSC-klagomål.docx", "A 14092-2023")</f>
        <v/>
      </c>
      <c r="W28">
        <f>HYPERLINK("https://klasma.github.io/Logging_0181/klagomålsmail/A 14092-2023 FSC-klagomål mail.docx", "A 14092-2023")</f>
        <v/>
      </c>
      <c r="X28">
        <f>HYPERLINK("https://klasma.github.io/Logging_0181/tillsyn/A 14092-2023 tillsynsbegäran.docx", "A 14092-2023")</f>
        <v/>
      </c>
      <c r="Y28">
        <f>HYPERLINK("https://klasma.github.io/Logging_0181/tillsynsmail/A 14092-2023 tillsynsbegäran mail.docx", "A 14092-2023")</f>
        <v/>
      </c>
      <c r="Z28">
        <f>HYPERLINK("https://klasma.github.io/Logging_0181/fåglar/A 14092-2023 prioriterade fågelarter.docx", "A 14092-2023")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46040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46040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46040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46040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27058-2024</t>
        </is>
      </c>
      <c r="B33" s="1" t="n">
        <v>45471</v>
      </c>
      <c r="C33" s="1" t="n">
        <v>46040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Persiljespindling</t>
        </is>
      </c>
      <c r="S33">
        <f>HYPERLINK("https://klasma.github.io/Logging_0181/artfynd/A 27058-2024 artfynd.xlsx", "A 27058-2024")</f>
        <v/>
      </c>
      <c r="T33">
        <f>HYPERLINK("https://klasma.github.io/Logging_0181/kartor/A 27058-2024 karta.png", "A 27058-2024")</f>
        <v/>
      </c>
      <c r="V33">
        <f>HYPERLINK("https://klasma.github.io/Logging_0181/klagomål/A 27058-2024 FSC-klagomål.docx", "A 27058-2024")</f>
        <v/>
      </c>
      <c r="W33">
        <f>HYPERLINK("https://klasma.github.io/Logging_0181/klagomålsmail/A 27058-2024 FSC-klagomål mail.docx", "A 27058-2024")</f>
        <v/>
      </c>
      <c r="X33">
        <f>HYPERLINK("https://klasma.github.io/Logging_0181/tillsyn/A 27058-2024 tillsynsbegäran.docx", "A 27058-2024")</f>
        <v/>
      </c>
      <c r="Y33">
        <f>HYPERLINK("https://klasma.github.io/Logging_0181/tillsynsmail/A 27058-2024 tillsynsbegäran mail.docx", "A 27058-2024")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46040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46040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46040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46040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46040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46040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46040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46040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46040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46040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11126-2021</t>
        </is>
      </c>
      <c r="B44" s="1" t="n">
        <v>44260</v>
      </c>
      <c r="C44" s="1" t="n">
        <v>46040</v>
      </c>
      <c r="D44" t="inlineStr">
        <is>
          <t>STOCKHOLMS LÄN</t>
        </is>
      </c>
      <c r="E44" t="inlineStr">
        <is>
          <t>SÖDERTÄLJE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46040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11360-2021</t>
        </is>
      </c>
      <c r="B46" s="1" t="n">
        <v>44263</v>
      </c>
      <c r="C46" s="1" t="n">
        <v>46040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11361-2021</t>
        </is>
      </c>
      <c r="B47" s="1" t="n">
        <v>44263</v>
      </c>
      <c r="C47" s="1" t="n">
        <v>46040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46040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46040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46040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46040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46040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46040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46040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46040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46040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46040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46040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46040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46040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46040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46040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46040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46040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46040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34193-2024</t>
        </is>
      </c>
      <c r="B66" s="1" t="n">
        <v>45524.46203703704</v>
      </c>
      <c r="C66" s="1" t="n">
        <v>46040</v>
      </c>
      <c r="D66" t="inlineStr">
        <is>
          <t>STOCKHOLMS LÄN</t>
        </is>
      </c>
      <c r="E66" t="inlineStr">
        <is>
          <t>SÖDERTÄLJE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46040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46040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46040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38194-2025</t>
        </is>
      </c>
      <c r="B70" s="1" t="n">
        <v>45882.65921296296</v>
      </c>
      <c r="C70" s="1" t="n">
        <v>46040</v>
      </c>
      <c r="D70" t="inlineStr">
        <is>
          <t>STOCKHOLMS LÄN</t>
        </is>
      </c>
      <c r="E70" t="inlineStr">
        <is>
          <t>SÖDERTÄLJE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6886-2022</t>
        </is>
      </c>
      <c r="B71" s="1" t="n">
        <v>44602</v>
      </c>
      <c r="C71" s="1" t="n">
        <v>46040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487-2024</t>
        </is>
      </c>
      <c r="B72" s="1" t="n">
        <v>45298.85216435185</v>
      </c>
      <c r="C72" s="1" t="n">
        <v>46040</v>
      </c>
      <c r="D72" t="inlineStr">
        <is>
          <t>STOCKHOLMS LÄN</t>
        </is>
      </c>
      <c r="E72" t="inlineStr">
        <is>
          <t>SÖDERTÄLJE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57884-2021</t>
        </is>
      </c>
      <c r="B73" s="1" t="n">
        <v>44485</v>
      </c>
      <c r="C73" s="1" t="n">
        <v>46040</v>
      </c>
      <c r="D73" t="inlineStr">
        <is>
          <t>STOCKHOLMS LÄN</t>
        </is>
      </c>
      <c r="E73" t="inlineStr">
        <is>
          <t>SÖDERTÄLJE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46040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46040</v>
      </c>
      <c r="D75" t="inlineStr">
        <is>
          <t>STOCKHOLMS LÄN</t>
        </is>
      </c>
      <c r="E75" t="inlineStr">
        <is>
          <t>SÖDERTÄLJE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36112-2022</t>
        </is>
      </c>
      <c r="B76" s="1" t="n">
        <v>44802</v>
      </c>
      <c r="C76" s="1" t="n">
        <v>46040</v>
      </c>
      <c r="D76" t="inlineStr">
        <is>
          <t>STOCKHOLMS LÄN</t>
        </is>
      </c>
      <c r="E76" t="inlineStr">
        <is>
          <t>SÖDERTÄLJE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28981-2023</t>
        </is>
      </c>
      <c r="B77" s="1" t="n">
        <v>45104</v>
      </c>
      <c r="C77" s="1" t="n">
        <v>46040</v>
      </c>
      <c r="D77" t="inlineStr">
        <is>
          <t>STOCKHOLMS LÄN</t>
        </is>
      </c>
      <c r="E77" t="inlineStr">
        <is>
          <t>SÖDERTÄLJE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46040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41702-2025</t>
        </is>
      </c>
      <c r="B79" s="1" t="n">
        <v>45902.41623842593</v>
      </c>
      <c r="C79" s="1" t="n">
        <v>46040</v>
      </c>
      <c r="D79" t="inlineStr">
        <is>
          <t>STOCKHOLMS LÄN</t>
        </is>
      </c>
      <c r="E79" t="inlineStr">
        <is>
          <t>SÖDERTÄLJE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46040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50059-2021</t>
        </is>
      </c>
      <c r="B81" s="1" t="n">
        <v>44455</v>
      </c>
      <c r="C81" s="1" t="n">
        <v>46040</v>
      </c>
      <c r="D81" t="inlineStr">
        <is>
          <t>STOCKHOLMS LÄN</t>
        </is>
      </c>
      <c r="E81" t="inlineStr">
        <is>
          <t>SÖDERTÄLJE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243-2026</t>
        </is>
      </c>
      <c r="B82" s="1" t="n">
        <v>46027.39109953704</v>
      </c>
      <c r="C82" s="1" t="n">
        <v>46040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231-2026</t>
        </is>
      </c>
      <c r="B83" s="1" t="n">
        <v>46027.34201388889</v>
      </c>
      <c r="C83" s="1" t="n">
        <v>46040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234-2026</t>
        </is>
      </c>
      <c r="B84" s="1" t="n">
        <v>46027.36018518519</v>
      </c>
      <c r="C84" s="1" t="n">
        <v>46040</v>
      </c>
      <c r="D84" t="inlineStr">
        <is>
          <t>STOCKHOLMS LÄN</t>
        </is>
      </c>
      <c r="E84" t="inlineStr">
        <is>
          <t>SÖDERTÄLJE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60897-2025</t>
        </is>
      </c>
      <c r="B85" s="1" t="n">
        <v>45999.58038194444</v>
      </c>
      <c r="C85" s="1" t="n">
        <v>46040</v>
      </c>
      <c r="D85" t="inlineStr">
        <is>
          <t>STOCKHOLMS LÄN</t>
        </is>
      </c>
      <c r="E85" t="inlineStr">
        <is>
          <t>SÖDERTÄLJE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11343-2025</t>
        </is>
      </c>
      <c r="B86" s="1" t="n">
        <v>45726.49932870371</v>
      </c>
      <c r="C86" s="1" t="n">
        <v>46040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28502-2023</t>
        </is>
      </c>
      <c r="B87" s="1" t="n">
        <v>45103</v>
      </c>
      <c r="C87" s="1" t="n">
        <v>46040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24034-2022</t>
        </is>
      </c>
      <c r="B88" s="1" t="n">
        <v>44724</v>
      </c>
      <c r="C88" s="1" t="n">
        <v>46040</v>
      </c>
      <c r="D88" t="inlineStr">
        <is>
          <t>STOCKHOLMS LÄN</t>
        </is>
      </c>
      <c r="E88" t="inlineStr">
        <is>
          <t>SÖDERTÄLJE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46040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35145-2023</t>
        </is>
      </c>
      <c r="B90" s="1" t="n">
        <v>45145</v>
      </c>
      <c r="C90" s="1" t="n">
        <v>46040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62320-2023</t>
        </is>
      </c>
      <c r="B91" s="1" t="n">
        <v>45267</v>
      </c>
      <c r="C91" s="1" t="n">
        <v>46040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1696-2026</t>
        </is>
      </c>
      <c r="B92" s="1" t="n">
        <v>46034.59373842592</v>
      </c>
      <c r="C92" s="1" t="n">
        <v>46040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1715-2026</t>
        </is>
      </c>
      <c r="B93" s="1" t="n">
        <v>46034.60863425926</v>
      </c>
      <c r="C93" s="1" t="n">
        <v>46040</v>
      </c>
      <c r="D93" t="inlineStr">
        <is>
          <t>STOCKHOLMS LÄN</t>
        </is>
      </c>
      <c r="E93" t="inlineStr">
        <is>
          <t>SÖDERTÄLJE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52815-2023</t>
        </is>
      </c>
      <c r="B94" s="1" t="n">
        <v>45226</v>
      </c>
      <c r="C94" s="1" t="n">
        <v>46040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46040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46040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46040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2685-2026</t>
        </is>
      </c>
      <c r="B98" s="1" t="n">
        <v>46037.65710648148</v>
      </c>
      <c r="C98" s="1" t="n">
        <v>46040</v>
      </c>
      <c r="D98" t="inlineStr">
        <is>
          <t>STOCKHOLMS LÄN</t>
        </is>
      </c>
      <c r="E98" t="inlineStr">
        <is>
          <t>SÖDERTÄLJE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3585-2022</t>
        </is>
      </c>
      <c r="B99" s="1" t="n">
        <v>44586</v>
      </c>
      <c r="C99" s="1" t="n">
        <v>46040</v>
      </c>
      <c r="D99" t="inlineStr">
        <is>
          <t>STOCKHOLMS LÄN</t>
        </is>
      </c>
      <c r="E99" t="inlineStr">
        <is>
          <t>SÖDERTÄLJE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46040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46040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2542-2026</t>
        </is>
      </c>
      <c r="B102" s="1" t="n">
        <v>46037.46063657408</v>
      </c>
      <c r="C102" s="1" t="n">
        <v>46040</v>
      </c>
      <c r="D102" t="inlineStr">
        <is>
          <t>STOCKHOLMS LÄN</t>
        </is>
      </c>
      <c r="E102" t="inlineStr">
        <is>
          <t>SÖDERTÄLJE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48046-2025</t>
        </is>
      </c>
      <c r="B103" s="1" t="n">
        <v>45932.67148148148</v>
      </c>
      <c r="C103" s="1" t="n">
        <v>46040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46040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46040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8320-2025</t>
        </is>
      </c>
      <c r="B106" s="1" t="n">
        <v>45708.62876157407</v>
      </c>
      <c r="C106" s="1" t="n">
        <v>46040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9562-2025</t>
        </is>
      </c>
      <c r="B107" s="1" t="n">
        <v>45715.61215277778</v>
      </c>
      <c r="C107" s="1" t="n">
        <v>46040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46040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46040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49956-2022</t>
        </is>
      </c>
      <c r="B110" s="1" t="n">
        <v>44865.37130787037</v>
      </c>
      <c r="C110" s="1" t="n">
        <v>46040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56596-2023</t>
        </is>
      </c>
      <c r="B111" s="1" t="n">
        <v>45243</v>
      </c>
      <c r="C111" s="1" t="n">
        <v>46040</v>
      </c>
      <c r="D111" t="inlineStr">
        <is>
          <t>STOCKHOLMS LÄN</t>
        </is>
      </c>
      <c r="E111" t="inlineStr">
        <is>
          <t>SÖDERTÄLJE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55940-2023</t>
        </is>
      </c>
      <c r="B112" s="1" t="n">
        <v>45240.30215277777</v>
      </c>
      <c r="C112" s="1" t="n">
        <v>46040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10263-2025</t>
        </is>
      </c>
      <c r="B113" s="1" t="n">
        <v>45720.38165509259</v>
      </c>
      <c r="C113" s="1" t="n">
        <v>46040</v>
      </c>
      <c r="D113" t="inlineStr">
        <is>
          <t>STOCKHOLMS LÄN</t>
        </is>
      </c>
      <c r="E113" t="inlineStr">
        <is>
          <t>SÖDERTÄLJE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10277-2025</t>
        </is>
      </c>
      <c r="B114" s="1" t="n">
        <v>45720.39836805555</v>
      </c>
      <c r="C114" s="1" t="n">
        <v>46040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58140-2023</t>
        </is>
      </c>
      <c r="B115" s="1" t="n">
        <v>45250</v>
      </c>
      <c r="C115" s="1" t="n">
        <v>46040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46040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10280-2025</t>
        </is>
      </c>
      <c r="B117" s="1" t="n">
        <v>45720.40354166667</v>
      </c>
      <c r="C117" s="1" t="n">
        <v>46040</v>
      </c>
      <c r="D117" t="inlineStr">
        <is>
          <t>STOCKHOLMS LÄN</t>
        </is>
      </c>
      <c r="E117" t="inlineStr">
        <is>
          <t>SÖDERTÄLJE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61735-2025</t>
        </is>
      </c>
      <c r="B118" s="1" t="n">
        <v>46002.594375</v>
      </c>
      <c r="C118" s="1" t="n">
        <v>46040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62311-2023</t>
        </is>
      </c>
      <c r="B119" s="1" t="n">
        <v>45266</v>
      </c>
      <c r="C119" s="1" t="n">
        <v>46040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3383-2024</t>
        </is>
      </c>
      <c r="B120" s="1" t="n">
        <v>45317</v>
      </c>
      <c r="C120" s="1" t="n">
        <v>46040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62047-2025</t>
        </is>
      </c>
      <c r="B121" s="1" t="n">
        <v>46006.30792824074</v>
      </c>
      <c r="C121" s="1" t="n">
        <v>46040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62049-2025</t>
        </is>
      </c>
      <c r="B122" s="1" t="n">
        <v>46006.3159837963</v>
      </c>
      <c r="C122" s="1" t="n">
        <v>46040</v>
      </c>
      <c r="D122" t="inlineStr">
        <is>
          <t>STOCKHOLMS LÄN</t>
        </is>
      </c>
      <c r="E122" t="inlineStr">
        <is>
          <t>SÖDERTÄLJE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46040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46040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46040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23367-2024</t>
        </is>
      </c>
      <c r="B126" s="1" t="n">
        <v>45453</v>
      </c>
      <c r="C126" s="1" t="n">
        <v>46040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46040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46040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8611-2023</t>
        </is>
      </c>
      <c r="B129" s="1" t="n">
        <v>44977</v>
      </c>
      <c r="C129" s="1" t="n">
        <v>46040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47714-2023</t>
        </is>
      </c>
      <c r="B130" s="1" t="n">
        <v>45198</v>
      </c>
      <c r="C130" s="1" t="n">
        <v>46040</v>
      </c>
      <c r="D130" t="inlineStr">
        <is>
          <t>STOCKHOLMS LÄN</t>
        </is>
      </c>
      <c r="E130" t="inlineStr">
        <is>
          <t>SÖDERTÄLJE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60635-2024</t>
        </is>
      </c>
      <c r="B131" s="1" t="n">
        <v>45644.41744212963</v>
      </c>
      <c r="C131" s="1" t="n">
        <v>46040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55532-2025</t>
        </is>
      </c>
      <c r="B132" s="1" t="n">
        <v>45971.62462962963</v>
      </c>
      <c r="C132" s="1" t="n">
        <v>46040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46040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35918-2022</t>
        </is>
      </c>
      <c r="B134" s="1" t="n">
        <v>44802</v>
      </c>
      <c r="C134" s="1" t="n">
        <v>46040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48820-2022</t>
        </is>
      </c>
      <c r="B135" s="1" t="n">
        <v>44859</v>
      </c>
      <c r="C135" s="1" t="n">
        <v>46040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46040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72218-2021</t>
        </is>
      </c>
      <c r="B137" s="1" t="n">
        <v>44544.76424768518</v>
      </c>
      <c r="C137" s="1" t="n">
        <v>46040</v>
      </c>
      <c r="D137" t="inlineStr">
        <is>
          <t>STOCKHOLMS LÄN</t>
        </is>
      </c>
      <c r="E137" t="inlineStr">
        <is>
          <t>SÖDERTÄLJE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314-2022</t>
        </is>
      </c>
      <c r="B138" s="1" t="n">
        <v>44564</v>
      </c>
      <c r="C138" s="1" t="n">
        <v>46040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31375-2024</t>
        </is>
      </c>
      <c r="B139" s="1" t="n">
        <v>45505</v>
      </c>
      <c r="C139" s="1" t="n">
        <v>46040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16724-2022</t>
        </is>
      </c>
      <c r="B140" s="1" t="n">
        <v>44673</v>
      </c>
      <c r="C140" s="1" t="n">
        <v>46040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37536-2024</t>
        </is>
      </c>
      <c r="B141" s="1" t="n">
        <v>45541</v>
      </c>
      <c r="C141" s="1" t="n">
        <v>46040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42339-2024</t>
        </is>
      </c>
      <c r="B142" s="1" t="n">
        <v>45562</v>
      </c>
      <c r="C142" s="1" t="n">
        <v>46040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42337-2024</t>
        </is>
      </c>
      <c r="B143" s="1" t="n">
        <v>45562</v>
      </c>
      <c r="C143" s="1" t="n">
        <v>46040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Övriga statliga verk och myndigheter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46040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11319-2024</t>
        </is>
      </c>
      <c r="B145" s="1" t="n">
        <v>45371.91613425926</v>
      </c>
      <c r="C145" s="1" t="n">
        <v>46040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2529-2023</t>
        </is>
      </c>
      <c r="B146" s="1" t="n">
        <v>44943.60554398148</v>
      </c>
      <c r="C146" s="1" t="n">
        <v>46040</v>
      </c>
      <c r="D146" t="inlineStr">
        <is>
          <t>STOCKHOLMS LÄN</t>
        </is>
      </c>
      <c r="E146" t="inlineStr">
        <is>
          <t>SÖDERTÄLJE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27970-2022</t>
        </is>
      </c>
      <c r="B147" s="1" t="n">
        <v>44744</v>
      </c>
      <c r="C147" s="1" t="n">
        <v>46040</v>
      </c>
      <c r="D147" t="inlineStr">
        <is>
          <t>STOCKHOLMS LÄN</t>
        </is>
      </c>
      <c r="E147" t="inlineStr">
        <is>
          <t>SÖDERTÄLJE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27972-2022</t>
        </is>
      </c>
      <c r="B148" s="1" t="n">
        <v>44744</v>
      </c>
      <c r="C148" s="1" t="n">
        <v>46040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4443-2023</t>
        </is>
      </c>
      <c r="B149" s="1" t="n">
        <v>44956.45393518519</v>
      </c>
      <c r="C149" s="1" t="n">
        <v>46040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46040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27969-2022</t>
        </is>
      </c>
      <c r="B151" s="1" t="n">
        <v>44744</v>
      </c>
      <c r="C151" s="1" t="n">
        <v>46040</v>
      </c>
      <c r="D151" t="inlineStr">
        <is>
          <t>STOCKHOLMS LÄN</t>
        </is>
      </c>
      <c r="E151" t="inlineStr">
        <is>
          <t>SÖDERTÄLJE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46040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58928-2022</t>
        </is>
      </c>
      <c r="B153" s="1" t="n">
        <v>44903</v>
      </c>
      <c r="C153" s="1" t="n">
        <v>46040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46040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46040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57010-2024</t>
        </is>
      </c>
      <c r="B156" s="1" t="n">
        <v>45628</v>
      </c>
      <c r="C156" s="1" t="n">
        <v>46040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3108-2024</t>
        </is>
      </c>
      <c r="B157" s="1" t="n">
        <v>45316</v>
      </c>
      <c r="C157" s="1" t="n">
        <v>46040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46040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46671-2021</t>
        </is>
      </c>
      <c r="B159" s="1" t="n">
        <v>44445</v>
      </c>
      <c r="C159" s="1" t="n">
        <v>46040</v>
      </c>
      <c r="D159" t="inlineStr">
        <is>
          <t>STOCKHOLMS LÄN</t>
        </is>
      </c>
      <c r="E159" t="inlineStr">
        <is>
          <t>SÖDERTÄLJE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45184-2022</t>
        </is>
      </c>
      <c r="B160" s="1" t="n">
        <v>44844.39888888889</v>
      </c>
      <c r="C160" s="1" t="n">
        <v>46040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46040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46040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1759-2025</t>
        </is>
      </c>
      <c r="B163" s="1" t="n">
        <v>45671.42385416666</v>
      </c>
      <c r="C163" s="1" t="n">
        <v>46040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31212-2024</t>
        </is>
      </c>
      <c r="B164" s="1" t="n">
        <v>45503</v>
      </c>
      <c r="C164" s="1" t="n">
        <v>46040</v>
      </c>
      <c r="D164" t="inlineStr">
        <is>
          <t>STOCKHOLMS LÄN</t>
        </is>
      </c>
      <c r="E164" t="inlineStr">
        <is>
          <t>SÖDERTÄLJE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46040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32044-2023</t>
        </is>
      </c>
      <c r="B166" s="1" t="n">
        <v>45119</v>
      </c>
      <c r="C166" s="1" t="n">
        <v>46040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52101-2022</t>
        </is>
      </c>
      <c r="B167" s="1" t="n">
        <v>44873</v>
      </c>
      <c r="C167" s="1" t="n">
        <v>46040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46040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35200-2023</t>
        </is>
      </c>
      <c r="B169" s="1" t="n">
        <v>45145</v>
      </c>
      <c r="C169" s="1" t="n">
        <v>46040</v>
      </c>
      <c r="D169" t="inlineStr">
        <is>
          <t>STOCKHOLMS LÄN</t>
        </is>
      </c>
      <c r="E169" t="inlineStr">
        <is>
          <t>SÖDERTÄLJE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25706-2023</t>
        </is>
      </c>
      <c r="B170" s="1" t="n">
        <v>45090</v>
      </c>
      <c r="C170" s="1" t="n">
        <v>46040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8316-2025</t>
        </is>
      </c>
      <c r="B171" s="1" t="n">
        <v>45708.6225462963</v>
      </c>
      <c r="C171" s="1" t="n">
        <v>46040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42133-2023</t>
        </is>
      </c>
      <c r="B172" s="1" t="n">
        <v>45177.83136574074</v>
      </c>
      <c r="C172" s="1" t="n">
        <v>46040</v>
      </c>
      <c r="D172" t="inlineStr">
        <is>
          <t>STOCKHOLMS LÄN</t>
        </is>
      </c>
      <c r="E172" t="inlineStr">
        <is>
          <t>SÖDERTÄLJE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46040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46040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46040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37844-2022</t>
        </is>
      </c>
      <c r="B176" s="1" t="n">
        <v>44810</v>
      </c>
      <c r="C176" s="1" t="n">
        <v>46040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8323-2025</t>
        </is>
      </c>
      <c r="B177" s="1" t="n">
        <v>45708.6322337963</v>
      </c>
      <c r="C177" s="1" t="n">
        <v>46040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56354-2023</t>
        </is>
      </c>
      <c r="B178" s="1" t="n">
        <v>45243</v>
      </c>
      <c r="C178" s="1" t="n">
        <v>46040</v>
      </c>
      <c r="D178" t="inlineStr">
        <is>
          <t>STOCKHOLMS LÄN</t>
        </is>
      </c>
      <c r="E178" t="inlineStr">
        <is>
          <t>SÖDERTÄLJE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46040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954-2023</t>
        </is>
      </c>
      <c r="B180" s="1" t="n">
        <v>44934.7921875</v>
      </c>
      <c r="C180" s="1" t="n">
        <v>46040</v>
      </c>
      <c r="D180" t="inlineStr">
        <is>
          <t>STOCKHOLMS LÄN</t>
        </is>
      </c>
      <c r="E180" t="inlineStr">
        <is>
          <t>SÖDERTÄLJE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45145-2022</t>
        </is>
      </c>
      <c r="B181" s="1" t="n">
        <v>44844</v>
      </c>
      <c r="C181" s="1" t="n">
        <v>46040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46040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46040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46040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1381-2023</t>
        </is>
      </c>
      <c r="B185" s="1" t="n">
        <v>44936.68457175926</v>
      </c>
      <c r="C185" s="1" t="n">
        <v>46040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46040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46040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46040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46040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46040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46040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19210-2024</t>
        </is>
      </c>
      <c r="B192" s="1" t="n">
        <v>45428.54665509259</v>
      </c>
      <c r="C192" s="1" t="n">
        <v>46040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51353-2024</t>
        </is>
      </c>
      <c r="B193" s="1" t="n">
        <v>45604.36140046296</v>
      </c>
      <c r="C193" s="1" t="n">
        <v>46040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25415-2025</t>
        </is>
      </c>
      <c r="B194" s="1" t="n">
        <v>45799</v>
      </c>
      <c r="C194" s="1" t="n">
        <v>46040</v>
      </c>
      <c r="D194" t="inlineStr">
        <is>
          <t>STOCKHOLMS LÄN</t>
        </is>
      </c>
      <c r="E194" t="inlineStr">
        <is>
          <t>SÖDERTÄLJE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25396-2025</t>
        </is>
      </c>
      <c r="B195" s="1" t="n">
        <v>45799</v>
      </c>
      <c r="C195" s="1" t="n">
        <v>46040</v>
      </c>
      <c r="D195" t="inlineStr">
        <is>
          <t>STOCKHOLMS LÄN</t>
        </is>
      </c>
      <c r="E195" t="inlineStr">
        <is>
          <t>SÖDERTÄLJE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25412-2025</t>
        </is>
      </c>
      <c r="B196" s="1" t="n">
        <v>45799</v>
      </c>
      <c r="C196" s="1" t="n">
        <v>46040</v>
      </c>
      <c r="D196" t="inlineStr">
        <is>
          <t>STOCKHOLMS LÄN</t>
        </is>
      </c>
      <c r="E196" t="inlineStr">
        <is>
          <t>SÖDERTÄLJE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25414-2025</t>
        </is>
      </c>
      <c r="B197" s="1" t="n">
        <v>45799</v>
      </c>
      <c r="C197" s="1" t="n">
        <v>46040</v>
      </c>
      <c r="D197" t="inlineStr">
        <is>
          <t>STOCKHOLMS LÄN</t>
        </is>
      </c>
      <c r="E197" t="inlineStr">
        <is>
          <t>SÖDERTÄLJE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28346-2025</t>
        </is>
      </c>
      <c r="B198" s="1" t="n">
        <v>45818.70325231482</v>
      </c>
      <c r="C198" s="1" t="n">
        <v>46040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29336-2025</t>
        </is>
      </c>
      <c r="B199" s="1" t="n">
        <v>45824.49658564815</v>
      </c>
      <c r="C199" s="1" t="n">
        <v>46040</v>
      </c>
      <c r="D199" t="inlineStr">
        <is>
          <t>STOCKHOLMS LÄN</t>
        </is>
      </c>
      <c r="E199" t="inlineStr">
        <is>
          <t>SÖDERTÄLJE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29770-2025</t>
        </is>
      </c>
      <c r="B200" s="1" t="n">
        <v>45825.62880787037</v>
      </c>
      <c r="C200" s="1" t="n">
        <v>46040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31086-2025</t>
        </is>
      </c>
      <c r="B201" s="1" t="n">
        <v>45832.59052083334</v>
      </c>
      <c r="C201" s="1" t="n">
        <v>46040</v>
      </c>
      <c r="D201" t="inlineStr">
        <is>
          <t>STOCKHOLMS LÄN</t>
        </is>
      </c>
      <c r="E201" t="inlineStr">
        <is>
          <t>SÖDERTÄLJE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2026-01-18T10:57:55Z</dcterms:created>
  <dcterms:modified xmlns:dcterms="http://purl.org/dc/terms/" xmlns:xsi="http://www.w3.org/2001/XMLSchema-instance" xsi:type="dcterms:W3CDTF">2026-01-18T10:57:55Z</dcterms:modified>
</cp:coreProperties>
</file>