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45794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45794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45794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45794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45794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45794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45794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45794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45794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45794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45794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45794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45794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45794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45794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14153-2025</t>
        </is>
      </c>
      <c r="B17" s="1" t="n">
        <v>45740</v>
      </c>
      <c r="C17" s="1" t="n">
        <v>45794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9.4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Reliktbock
Dropptaggsvamp
Kungsfågel</t>
        </is>
      </c>
      <c r="S17">
        <f>HYPERLINK("https://klasma.github.io/Logging_010181/artfynd/A 14153-2025 artfynd.xlsx", "A 14153-2025")</f>
        <v/>
      </c>
      <c r="T17">
        <f>HYPERLINK("https://klasma.github.io/Logging_010181/kartor/A 14153-2025 karta.png", "A 14153-2025")</f>
        <v/>
      </c>
      <c r="V17">
        <f>HYPERLINK("https://klasma.github.io/Logging_010181/klagomål/A 14153-2025 FSC-klagomål.docx", "A 14153-2025")</f>
        <v/>
      </c>
      <c r="W17">
        <f>HYPERLINK("https://klasma.github.io/Logging_010181/klagomålsmail/A 14153-2025 FSC-klagomål mail.docx", "A 14153-2025")</f>
        <v/>
      </c>
      <c r="X17">
        <f>HYPERLINK("https://klasma.github.io/Logging_010181/tillsyn/A 14153-2025 tillsynsbegäran.docx", "A 14153-2025")</f>
        <v/>
      </c>
      <c r="Y17">
        <f>HYPERLINK("https://klasma.github.io/Logging_010181/tillsynsmail/A 14153-2025 tillsynsbegäran mail.docx", "A 14153-2025")</f>
        <v/>
      </c>
      <c r="Z17">
        <f>HYPERLINK("https://klasma.github.io/Logging_010181/fåglar/A 14153-2025 prioriterade fågelarter.docx", "A 14153-2025")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45794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17648-2021</t>
        </is>
      </c>
      <c r="B19" s="1" t="n">
        <v>44300</v>
      </c>
      <c r="C19" s="1" t="n">
        <v>45794</v>
      </c>
      <c r="D19" t="inlineStr">
        <is>
          <t>STOCKHOLMS LÄN</t>
        </is>
      </c>
      <c r="E19" t="inlineStr">
        <is>
          <t>SÖDERTÄLJE</t>
        </is>
      </c>
      <c r="G19" t="n">
        <v>11.8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Hedpärlemorfjäril
Sexfläckig bastardsvärmare</t>
        </is>
      </c>
      <c r="S19">
        <f>HYPERLINK("https://klasma.github.io/Logging_0181/artfynd/A 17648-2021 artfynd.xlsx", "A 17648-2021")</f>
        <v/>
      </c>
      <c r="T19">
        <f>HYPERLINK("https://klasma.github.io/Logging_0181/kartor/A 17648-2021 karta.png", "A 17648-2021")</f>
        <v/>
      </c>
      <c r="V19">
        <f>HYPERLINK("https://klasma.github.io/Logging_0181/klagomål/A 17648-2021 FSC-klagomål.docx", "A 17648-2021")</f>
        <v/>
      </c>
      <c r="W19">
        <f>HYPERLINK("https://klasma.github.io/Logging_0181/klagomålsmail/A 17648-2021 FSC-klagomål mail.docx", "A 17648-2021")</f>
        <v/>
      </c>
      <c r="X19">
        <f>HYPERLINK("https://klasma.github.io/Logging_0181/tillsyn/A 17648-2021 tillsynsbegäran.docx", "A 17648-2021")</f>
        <v/>
      </c>
      <c r="Y19">
        <f>HYPERLINK("https://klasma.github.io/Logging_0181/tillsynsmail/A 17648-2021 tillsynsbegäran mail.docx", "A 17648-2021")</f>
        <v/>
      </c>
    </row>
    <row r="20" ht="15" customHeight="1">
      <c r="A20" t="inlineStr">
        <is>
          <t>A 44954-2022</t>
        </is>
      </c>
      <c r="B20" s="1" t="n">
        <v>44841</v>
      </c>
      <c r="C20" s="1" t="n">
        <v>45794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Tjäder</t>
        </is>
      </c>
      <c r="S20">
        <f>HYPERLINK("https://klasma.github.io/Logging_0181/artfynd/A 44954-2022 artfynd.xlsx", "A 44954-2022")</f>
        <v/>
      </c>
      <c r="T20">
        <f>HYPERLINK("https://klasma.github.io/Logging_0181/kartor/A 44954-2022 karta.png", "A 44954-2022")</f>
        <v/>
      </c>
      <c r="V20">
        <f>HYPERLINK("https://klasma.github.io/Logging_0181/klagomål/A 44954-2022 FSC-klagomål.docx", "A 44954-2022")</f>
        <v/>
      </c>
      <c r="W20">
        <f>HYPERLINK("https://klasma.github.io/Logging_0181/klagomålsmail/A 44954-2022 FSC-klagomål mail.docx", "A 44954-2022")</f>
        <v/>
      </c>
      <c r="X20">
        <f>HYPERLINK("https://klasma.github.io/Logging_0181/tillsyn/A 44954-2022 tillsynsbegäran.docx", "A 44954-2022")</f>
        <v/>
      </c>
      <c r="Y20">
        <f>HYPERLINK("https://klasma.github.io/Logging_0181/tillsynsmail/A 44954-2022 tillsynsbegäran mail.docx", "A 44954-2022")</f>
        <v/>
      </c>
      <c r="Z20">
        <f>HYPERLINK("https://klasma.github.io/Logging_0181/fåglar/A 44954-2022 prioriterade fågelarter.docx", "A 44954-2022")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45794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Tjockfotad fingersvamp
Nattviol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45794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45794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51019-2024</t>
        </is>
      </c>
      <c r="B24" s="1" t="n">
        <v>45603</v>
      </c>
      <c r="C24" s="1" t="n">
        <v>45794</v>
      </c>
      <c r="D24" t="inlineStr">
        <is>
          <t>STOCKHOLMS LÄN</t>
        </is>
      </c>
      <c r="E24" t="inlineStr">
        <is>
          <t>SÖDERTÄLJE</t>
        </is>
      </c>
      <c r="G24" t="n">
        <v>1.8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Grönpyrola</t>
        </is>
      </c>
      <c r="S24">
        <f>HYPERLINK("https://klasma.github.io/Logging_0181/artfynd/A 51019-2024 artfynd.xlsx", "A 51019-2024")</f>
        <v/>
      </c>
      <c r="T24">
        <f>HYPERLINK("https://klasma.github.io/Logging_0181/kartor/A 51019-2024 karta.png", "A 51019-2024")</f>
        <v/>
      </c>
      <c r="V24">
        <f>HYPERLINK("https://klasma.github.io/Logging_0181/klagomål/A 51019-2024 FSC-klagomål.docx", "A 51019-2024")</f>
        <v/>
      </c>
      <c r="W24">
        <f>HYPERLINK("https://klasma.github.io/Logging_0181/klagomålsmail/A 51019-2024 FSC-klagomål mail.docx", "A 51019-2024")</f>
        <v/>
      </c>
      <c r="X24">
        <f>HYPERLINK("https://klasma.github.io/Logging_0181/tillsyn/A 51019-2024 tillsynsbegäran.docx", "A 51019-2024")</f>
        <v/>
      </c>
      <c r="Y24">
        <f>HYPERLINK("https://klasma.github.io/Logging_0181/tillsynsmail/A 51019-2024 tillsynsbegäran mail.docx", "A 51019-2024")</f>
        <v/>
      </c>
    </row>
    <row r="25" ht="15" customHeight="1">
      <c r="A25" t="inlineStr">
        <is>
          <t>A 16535-2025</t>
        </is>
      </c>
      <c r="B25" s="1" t="n">
        <v>45751</v>
      </c>
      <c r="C25" s="1" t="n">
        <v>45794</v>
      </c>
      <c r="D25" t="inlineStr">
        <is>
          <t>STOCKHOLMS LÄN</t>
        </is>
      </c>
      <c r="E25" t="inlineStr">
        <is>
          <t>SÖDERTÄLJE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HYPERLINK("https://klasma.github.io/Logging_010181/artfynd/A 16535-2025 artfynd.xlsx", "A 16535-2025")</f>
        <v/>
      </c>
      <c r="T25">
        <f>HYPERLINK("https://klasma.github.io/Logging_010181/kartor/A 16535-2025 karta.png", "A 16535-2025")</f>
        <v/>
      </c>
      <c r="V25">
        <f>HYPERLINK("https://klasma.github.io/Logging_010181/klagomål/A 16535-2025 FSC-klagomål.docx", "A 16535-2025")</f>
        <v/>
      </c>
      <c r="W25">
        <f>HYPERLINK("https://klasma.github.io/Logging_010181/klagomålsmail/A 16535-2025 FSC-klagomål mail.docx", "A 16535-2025")</f>
        <v/>
      </c>
      <c r="X25">
        <f>HYPERLINK("https://klasma.github.io/Logging_010181/tillsyn/A 16535-2025 tillsynsbegäran.docx", "A 16535-2025")</f>
        <v/>
      </c>
      <c r="Y25">
        <f>HYPERLINK("https://klasma.github.io/Logging_010181/tillsynsmail/A 16535-2025 tillsynsbegäran mail.docx", "A 16535-2025")</f>
        <v/>
      </c>
    </row>
    <row r="26" ht="15" customHeight="1">
      <c r="A26" t="inlineStr">
        <is>
          <t>A 27513-2019</t>
        </is>
      </c>
      <c r="B26" s="1" t="n">
        <v>43619</v>
      </c>
      <c r="C26" s="1" t="n">
        <v>45794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HYPERLINK("https://klasma.github.io/Logging_0181/artfynd/A 27513-2019 artfynd.xlsx", "A 27513-2019")</f>
        <v/>
      </c>
      <c r="T26">
        <f>HYPERLINK("https://klasma.github.io/Logging_0181/kartor/A 27513-2019 karta.png", "A 27513-2019")</f>
        <v/>
      </c>
      <c r="V26">
        <f>HYPERLINK("https://klasma.github.io/Logging_0181/klagomål/A 27513-2019 FSC-klagomål.docx", "A 27513-2019")</f>
        <v/>
      </c>
      <c r="W26">
        <f>HYPERLINK("https://klasma.github.io/Logging_0181/klagomålsmail/A 27513-2019 FSC-klagomål mail.docx", "A 27513-2019")</f>
        <v/>
      </c>
      <c r="X26">
        <f>HYPERLINK("https://klasma.github.io/Logging_0181/tillsyn/A 27513-2019 tillsynsbegäran.docx", "A 27513-2019")</f>
        <v/>
      </c>
      <c r="Y26">
        <f>HYPERLINK("https://klasma.github.io/Logging_0181/tillsynsmail/A 27513-2019 tillsynsbegäran mail.docx", "A 27513-2019")</f>
        <v/>
      </c>
    </row>
    <row r="27" ht="15" customHeight="1">
      <c r="A27" t="inlineStr">
        <is>
          <t>A 59643-2019</t>
        </is>
      </c>
      <c r="B27" s="1" t="n">
        <v>43776</v>
      </c>
      <c r="C27" s="1" t="n">
        <v>45794</v>
      </c>
      <c r="D27" t="inlineStr">
        <is>
          <t>STOCKHOLMS LÄN</t>
        </is>
      </c>
      <c r="E27" t="inlineStr">
        <is>
          <t>SÖDERTÄLJE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HYPERLINK("https://klasma.github.io/Logging_0181/artfynd/A 59643-2019 artfynd.xlsx", "A 59643-2019")</f>
        <v/>
      </c>
      <c r="T27">
        <f>HYPERLINK("https://klasma.github.io/Logging_0181/kartor/A 59643-2019 karta.png", "A 59643-2019")</f>
        <v/>
      </c>
      <c r="U27">
        <f>HYPERLINK("https://klasma.github.io/Logging_0181/knärot/A 59643-2019 karta knärot.png", "A 59643-2019")</f>
        <v/>
      </c>
      <c r="V27">
        <f>HYPERLINK("https://klasma.github.io/Logging_0181/klagomål/A 59643-2019 FSC-klagomål.docx", "A 59643-2019")</f>
        <v/>
      </c>
      <c r="W27">
        <f>HYPERLINK("https://klasma.github.io/Logging_0181/klagomålsmail/A 59643-2019 FSC-klagomål mail.docx", "A 59643-2019")</f>
        <v/>
      </c>
      <c r="X27">
        <f>HYPERLINK("https://klasma.github.io/Logging_0181/tillsyn/A 59643-2019 tillsynsbegäran.docx", "A 59643-2019")</f>
        <v/>
      </c>
      <c r="Y27">
        <f>HYPERLINK("https://klasma.github.io/Logging_0181/tillsynsmail/A 59643-2019 tillsynsbegäran mail.docx", "A 59643-2019")</f>
        <v/>
      </c>
    </row>
    <row r="28" ht="15" customHeight="1">
      <c r="A28" t="inlineStr">
        <is>
          <t>A 12832-2020</t>
        </is>
      </c>
      <c r="B28" s="1" t="n">
        <v>43899</v>
      </c>
      <c r="C28" s="1" t="n">
        <v>45794</v>
      </c>
      <c r="D28" t="inlineStr">
        <is>
          <t>STOCKHOLMS LÄN</t>
        </is>
      </c>
      <c r="E28" t="inlineStr">
        <is>
          <t>SÖDERTÄLJE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Ängsskära</t>
        </is>
      </c>
      <c r="S28">
        <f>HYPERLINK("https://klasma.github.io/Logging_0181/artfynd/A 12832-2020 artfynd.xlsx", "A 12832-2020")</f>
        <v/>
      </c>
      <c r="T28">
        <f>HYPERLINK("https://klasma.github.io/Logging_0181/kartor/A 12832-2020 karta.png", "A 12832-2020")</f>
        <v/>
      </c>
      <c r="V28">
        <f>HYPERLINK("https://klasma.github.io/Logging_0181/klagomål/A 12832-2020 FSC-klagomål.docx", "A 12832-2020")</f>
        <v/>
      </c>
      <c r="W28">
        <f>HYPERLINK("https://klasma.github.io/Logging_0181/klagomålsmail/A 12832-2020 FSC-klagomål mail.docx", "A 12832-2020")</f>
        <v/>
      </c>
      <c r="X28">
        <f>HYPERLINK("https://klasma.github.io/Logging_0181/tillsyn/A 12832-2020 tillsynsbegäran.docx", "A 12832-2020")</f>
        <v/>
      </c>
      <c r="Y28">
        <f>HYPERLINK("https://klasma.github.io/Logging_0181/tillsynsmail/A 12832-2020 tillsynsbegäran mail.docx", "A 12832-2020")</f>
        <v/>
      </c>
    </row>
    <row r="29" ht="15" customHeight="1">
      <c r="A29" t="inlineStr">
        <is>
          <t>A 27757-2021</t>
        </is>
      </c>
      <c r="B29" s="1" t="n">
        <v>44354</v>
      </c>
      <c r="C29" s="1" t="n">
        <v>45794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HYPERLINK("https://klasma.github.io/Logging_0181/artfynd/A 27757-2021 artfynd.xlsx", "A 27757-2021")</f>
        <v/>
      </c>
      <c r="T29">
        <f>HYPERLINK("https://klasma.github.io/Logging_0181/kartor/A 27757-2021 karta.png", "A 27757-2021")</f>
        <v/>
      </c>
      <c r="V29">
        <f>HYPERLINK("https://klasma.github.io/Logging_0181/klagomål/A 27757-2021 FSC-klagomål.docx", "A 27757-2021")</f>
        <v/>
      </c>
      <c r="W29">
        <f>HYPERLINK("https://klasma.github.io/Logging_0181/klagomålsmail/A 27757-2021 FSC-klagomål mail.docx", "A 27757-2021")</f>
        <v/>
      </c>
      <c r="X29">
        <f>HYPERLINK("https://klasma.github.io/Logging_0181/tillsyn/A 27757-2021 tillsynsbegäran.docx", "A 27757-2021")</f>
        <v/>
      </c>
      <c r="Y29">
        <f>HYPERLINK("https://klasma.github.io/Logging_0181/tillsynsmail/A 27757-2021 tillsynsbegäran mail.docx", "A 27757-2021")</f>
        <v/>
      </c>
    </row>
    <row r="30" ht="15" customHeight="1">
      <c r="A30" t="inlineStr">
        <is>
          <t>A 37678-2021</t>
        </is>
      </c>
      <c r="B30" s="1" t="n">
        <v>44400</v>
      </c>
      <c r="C30" s="1" t="n">
        <v>45794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HYPERLINK("https://klasma.github.io/Logging_0181/artfynd/A 37678-2021 artfynd.xlsx", "A 37678-2021")</f>
        <v/>
      </c>
      <c r="T30">
        <f>HYPERLINK("https://klasma.github.io/Logging_0181/kartor/A 37678-2021 karta.png", "A 37678-2021")</f>
        <v/>
      </c>
      <c r="V30">
        <f>HYPERLINK("https://klasma.github.io/Logging_0181/klagomål/A 37678-2021 FSC-klagomål.docx", "A 37678-2021")</f>
        <v/>
      </c>
      <c r="W30">
        <f>HYPERLINK("https://klasma.github.io/Logging_0181/klagomålsmail/A 37678-2021 FSC-klagomål mail.docx", "A 37678-2021")</f>
        <v/>
      </c>
      <c r="X30">
        <f>HYPERLINK("https://klasma.github.io/Logging_0181/tillsyn/A 37678-2021 tillsynsbegäran.docx", "A 37678-2021")</f>
        <v/>
      </c>
      <c r="Y30">
        <f>HYPERLINK("https://klasma.github.io/Logging_0181/tillsynsmail/A 37678-2021 tillsynsbegäran mail.docx", "A 37678-2021")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45794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1946-2022</t>
        </is>
      </c>
      <c r="B32" s="1" t="n">
        <v>44575</v>
      </c>
      <c r="C32" s="1" t="n">
        <v>45794</v>
      </c>
      <c r="D32" t="inlineStr">
        <is>
          <t>STOCKHOLMS LÄN</t>
        </is>
      </c>
      <c r="E32" t="inlineStr">
        <is>
          <t>SÖDERTÄLJE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HYPERLINK("https://klasma.github.io/Logging_0181/artfynd/A 1946-2022 artfynd.xlsx", "A 1946-2022")</f>
        <v/>
      </c>
      <c r="T32">
        <f>HYPERLINK("https://klasma.github.io/Logging_0181/kartor/A 1946-2022 karta.png", "A 1946-2022")</f>
        <v/>
      </c>
      <c r="V32">
        <f>HYPERLINK("https://klasma.github.io/Logging_0181/klagomål/A 1946-2022 FSC-klagomål.docx", "A 1946-2022")</f>
        <v/>
      </c>
      <c r="W32">
        <f>HYPERLINK("https://klasma.github.io/Logging_0181/klagomålsmail/A 1946-2022 FSC-klagomål mail.docx", "A 1946-2022")</f>
        <v/>
      </c>
      <c r="X32">
        <f>HYPERLINK("https://klasma.github.io/Logging_0181/tillsyn/A 1946-2022 tillsynsbegäran.docx", "A 1946-2022")</f>
        <v/>
      </c>
      <c r="Y32">
        <f>HYPERLINK("https://klasma.github.io/Logging_0181/tillsynsmail/A 1946-2022 tillsynsbegäran mail.docx", "A 1946-2022")</f>
        <v/>
      </c>
    </row>
    <row r="33" ht="15" customHeight="1">
      <c r="A33" t="inlineStr">
        <is>
          <t>A 38452-2022</t>
        </is>
      </c>
      <c r="B33" s="1" t="n">
        <v>44813</v>
      </c>
      <c r="C33" s="1" t="n">
        <v>45794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HYPERLINK("https://klasma.github.io/Logging_0181/artfynd/A 38452-2022 artfynd.xlsx", "A 38452-2022")</f>
        <v/>
      </c>
      <c r="T33">
        <f>HYPERLINK("https://klasma.github.io/Logging_0181/kartor/A 38452-2022 karta.png", "A 38452-2022")</f>
        <v/>
      </c>
      <c r="V33">
        <f>HYPERLINK("https://klasma.github.io/Logging_0181/klagomål/A 38452-2022 FSC-klagomål.docx", "A 38452-2022")</f>
        <v/>
      </c>
      <c r="W33">
        <f>HYPERLINK("https://klasma.github.io/Logging_0181/klagomålsmail/A 38452-2022 FSC-klagomål mail.docx", "A 38452-2022")</f>
        <v/>
      </c>
      <c r="X33">
        <f>HYPERLINK("https://klasma.github.io/Logging_0181/tillsyn/A 38452-2022 tillsynsbegäran.docx", "A 38452-2022")</f>
        <v/>
      </c>
      <c r="Y33">
        <f>HYPERLINK("https://klasma.github.io/Logging_0181/tillsynsmail/A 38452-2022 tillsynsbegäran mail.docx", "A 38452-2022")</f>
        <v/>
      </c>
    </row>
    <row r="34" ht="15" customHeight="1">
      <c r="A34" t="inlineStr">
        <is>
          <t>A 40816-2022</t>
        </is>
      </c>
      <c r="B34" s="1" t="n">
        <v>44824</v>
      </c>
      <c r="C34" s="1" t="n">
        <v>45794</v>
      </c>
      <c r="D34" t="inlineStr">
        <is>
          <t>STOCKHOLMS LÄN</t>
        </is>
      </c>
      <c r="E34" t="inlineStr">
        <is>
          <t>SÖDERTÄLJE</t>
        </is>
      </c>
      <c r="G34" t="n">
        <v>10.2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HYPERLINK("https://klasma.github.io/Logging_0181/artfynd/A 40816-2022 artfynd.xlsx", "A 40816-2022")</f>
        <v/>
      </c>
      <c r="T34">
        <f>HYPERLINK("https://klasma.github.io/Logging_0181/kartor/A 40816-2022 karta.png", "A 40816-2022")</f>
        <v/>
      </c>
      <c r="U34">
        <f>HYPERLINK("https://klasma.github.io/Logging_0181/knärot/A 40816-2022 karta knärot.png", "A 40816-2022")</f>
        <v/>
      </c>
      <c r="V34">
        <f>HYPERLINK("https://klasma.github.io/Logging_0181/klagomål/A 40816-2022 FSC-klagomål.docx", "A 40816-2022")</f>
        <v/>
      </c>
      <c r="W34">
        <f>HYPERLINK("https://klasma.github.io/Logging_0181/klagomålsmail/A 40816-2022 FSC-klagomål mail.docx", "A 40816-2022")</f>
        <v/>
      </c>
      <c r="X34">
        <f>HYPERLINK("https://klasma.github.io/Logging_0181/tillsyn/A 40816-2022 tillsynsbegäran.docx", "A 40816-2022")</f>
        <v/>
      </c>
      <c r="Y34">
        <f>HYPERLINK("https://klasma.github.io/Logging_0181/tillsynsmail/A 40816-2022 tillsynsbegäran mail.docx", "A 40816-2022")</f>
        <v/>
      </c>
    </row>
    <row r="35" ht="15" customHeight="1">
      <c r="A35" t="inlineStr">
        <is>
          <t>A 44958-2022</t>
        </is>
      </c>
      <c r="B35" s="1" t="n">
        <v>44841</v>
      </c>
      <c r="C35" s="1" t="n">
        <v>45794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HYPERLINK("https://klasma.github.io/Logging_0181/artfynd/A 44958-2022 artfynd.xlsx", "A 44958-2022")</f>
        <v/>
      </c>
      <c r="T35">
        <f>HYPERLINK("https://klasma.github.io/Logging_0181/kartor/A 44958-2022 karta.png", "A 44958-2022")</f>
        <v/>
      </c>
      <c r="V35">
        <f>HYPERLINK("https://klasma.github.io/Logging_0181/klagomål/A 44958-2022 FSC-klagomål.docx", "A 44958-2022")</f>
        <v/>
      </c>
      <c r="W35">
        <f>HYPERLINK("https://klasma.github.io/Logging_0181/klagomålsmail/A 44958-2022 FSC-klagomål mail.docx", "A 44958-2022")</f>
        <v/>
      </c>
      <c r="X35">
        <f>HYPERLINK("https://klasma.github.io/Logging_0181/tillsyn/A 44958-2022 tillsynsbegäran.docx", "A 44958-2022")</f>
        <v/>
      </c>
      <c r="Y35">
        <f>HYPERLINK("https://klasma.github.io/Logging_0181/tillsynsmail/A 44958-2022 tillsynsbegäran mail.docx", "A 44958-2022")</f>
        <v/>
      </c>
    </row>
    <row r="36" ht="15" customHeight="1">
      <c r="A36" t="inlineStr">
        <is>
          <t>A 13199-2023</t>
        </is>
      </c>
      <c r="B36" s="1" t="n">
        <v>45002</v>
      </c>
      <c r="C36" s="1" t="n">
        <v>45794</v>
      </c>
      <c r="D36" t="inlineStr">
        <is>
          <t>STOCKHOLMS LÄN</t>
        </is>
      </c>
      <c r="E36" t="inlineStr">
        <is>
          <t>SÖDERTÄLJE</t>
        </is>
      </c>
      <c r="G36" t="n">
        <v>7.2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HYPERLINK("https://klasma.github.io/Logging_0181/artfynd/A 13199-2023 artfynd.xlsx", "A 13199-2023")</f>
        <v/>
      </c>
      <c r="T36">
        <f>HYPERLINK("https://klasma.github.io/Logging_0181/kartor/A 13199-2023 karta.png", "A 13199-2023")</f>
        <v/>
      </c>
      <c r="V36">
        <f>HYPERLINK("https://klasma.github.io/Logging_0181/klagomål/A 13199-2023 FSC-klagomål.docx", "A 13199-2023")</f>
        <v/>
      </c>
      <c r="W36">
        <f>HYPERLINK("https://klasma.github.io/Logging_0181/klagomålsmail/A 13199-2023 FSC-klagomål mail.docx", "A 13199-2023")</f>
        <v/>
      </c>
      <c r="X36">
        <f>HYPERLINK("https://klasma.github.io/Logging_0181/tillsyn/A 13199-2023 tillsynsbegäran.docx", "A 13199-2023")</f>
        <v/>
      </c>
      <c r="Y36">
        <f>HYPERLINK("https://klasma.github.io/Logging_0181/tillsynsmail/A 13199-2023 tillsynsbegäran mail.docx", "A 13199-2023")</f>
        <v/>
      </c>
      <c r="Z36">
        <f>HYPERLINK("https://klasma.github.io/Logging_0181/fåglar/A 13199-2023 prioriterade fågelarter.docx", "A 13199-2023")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45794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35155-2023</t>
        </is>
      </c>
      <c r="B38" s="1" t="n">
        <v>45145</v>
      </c>
      <c r="C38" s="1" t="n">
        <v>45794</v>
      </c>
      <c r="D38" t="inlineStr">
        <is>
          <t>STOCKHOLMS LÄN</t>
        </is>
      </c>
      <c r="E38" t="inlineStr">
        <is>
          <t>SÖDERTÄLJE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HYPERLINK("https://klasma.github.io/Logging_0181/artfynd/A 35155-2023 artfynd.xlsx", "A 35155-2023")</f>
        <v/>
      </c>
      <c r="T38">
        <f>HYPERLINK("https://klasma.github.io/Logging_0181/kartor/A 35155-2023 karta.png", "A 35155-2023")</f>
        <v/>
      </c>
      <c r="V38">
        <f>HYPERLINK("https://klasma.github.io/Logging_0181/klagomål/A 35155-2023 FSC-klagomål.docx", "A 35155-2023")</f>
        <v/>
      </c>
      <c r="W38">
        <f>HYPERLINK("https://klasma.github.io/Logging_0181/klagomålsmail/A 35155-2023 FSC-klagomål mail.docx", "A 35155-2023")</f>
        <v/>
      </c>
      <c r="X38">
        <f>HYPERLINK("https://klasma.github.io/Logging_0181/tillsyn/A 35155-2023 tillsynsbegäran.docx", "A 35155-2023")</f>
        <v/>
      </c>
      <c r="Y38">
        <f>HYPERLINK("https://klasma.github.io/Logging_0181/tillsynsmail/A 35155-2023 tillsynsbegäran mail.docx", "A 35155-2023")</f>
        <v/>
      </c>
    </row>
    <row r="39" ht="15" customHeight="1">
      <c r="A39" t="inlineStr">
        <is>
          <t>A 47711-2023</t>
        </is>
      </c>
      <c r="B39" s="1" t="n">
        <v>45198</v>
      </c>
      <c r="C39" s="1" t="n">
        <v>45794</v>
      </c>
      <c r="D39" t="inlineStr">
        <is>
          <t>STOCKHOLMS LÄN</t>
        </is>
      </c>
      <c r="E39" t="inlineStr">
        <is>
          <t>SÖDERTÄLJE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HYPERLINK("https://klasma.github.io/Logging_0181/artfynd/A 47711-2023 artfynd.xlsx", "A 47711-2023")</f>
        <v/>
      </c>
      <c r="T39">
        <f>HYPERLINK("https://klasma.github.io/Logging_0181/kartor/A 47711-2023 karta.png", "A 47711-2023")</f>
        <v/>
      </c>
      <c r="V39">
        <f>HYPERLINK("https://klasma.github.io/Logging_0181/klagomål/A 47711-2023 FSC-klagomål.docx", "A 47711-2023")</f>
        <v/>
      </c>
      <c r="W39">
        <f>HYPERLINK("https://klasma.github.io/Logging_0181/klagomålsmail/A 47711-2023 FSC-klagomål mail.docx", "A 47711-2023")</f>
        <v/>
      </c>
      <c r="X39">
        <f>HYPERLINK("https://klasma.github.io/Logging_0181/tillsyn/A 47711-2023 tillsynsbegäran.docx", "A 47711-2023")</f>
        <v/>
      </c>
      <c r="Y39">
        <f>HYPERLINK("https://klasma.github.io/Logging_0181/tillsynsmail/A 47711-2023 tillsynsbegäran mail.docx", "A 47711-2023")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45794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45794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45794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45794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45794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45794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45794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45794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45794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45794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45794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45794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23772-2025</t>
        </is>
      </c>
      <c r="B52" s="1" t="n">
        <v>45793</v>
      </c>
      <c r="C52" s="1" t="n">
        <v>45794</v>
      </c>
      <c r="D52" t="inlineStr">
        <is>
          <t>STOCKHOLMS LÄN</t>
        </is>
      </c>
      <c r="E52" t="inlineStr">
        <is>
          <t>SÖDERTÄLJE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Rödvingetrast</t>
        </is>
      </c>
      <c r="S52">
        <f>HYPERLINK("https://klasma.github.io/Logging_010181/artfynd/A 23772-2025 artfynd.xlsx", "A 23772-2025")</f>
        <v/>
      </c>
      <c r="T52">
        <f>HYPERLINK("https://klasma.github.io/Logging_010181/kartor/A 23772-2025 karta.png", "A 23772-2025")</f>
        <v/>
      </c>
      <c r="V52">
        <f>HYPERLINK("https://klasma.github.io/Logging_010181/klagomål/A 23772-2025 FSC-klagomål.docx", "A 23772-2025")</f>
        <v/>
      </c>
      <c r="W52">
        <f>HYPERLINK("https://klasma.github.io/Logging_010181/klagomålsmail/A 23772-2025 FSC-klagomål mail.docx", "A 23772-2025")</f>
        <v/>
      </c>
      <c r="X52">
        <f>HYPERLINK("https://klasma.github.io/Logging_010181/tillsyn/A 23772-2025 tillsynsbegäran.docx", "A 23772-2025")</f>
        <v/>
      </c>
      <c r="Y52">
        <f>HYPERLINK("https://klasma.github.io/Logging_010181/tillsynsmail/A 23772-2025 tillsynsbegäran mail.docx", "A 23772-2025")</f>
        <v/>
      </c>
      <c r="Z52">
        <f>HYPERLINK("https://klasma.github.io/Logging_010181/fåglar/A 23772-2025 prioriterade fågelarter.docx", "A 23772-2025")</f>
        <v/>
      </c>
    </row>
    <row r="53" ht="15" customHeight="1">
      <c r="A53" t="inlineStr">
        <is>
          <t>A 24657-2019</t>
        </is>
      </c>
      <c r="B53" s="1" t="n">
        <v>43601</v>
      </c>
      <c r="C53" s="1" t="n">
        <v>45794</v>
      </c>
      <c r="D53" t="inlineStr">
        <is>
          <t>STOCKHOLMS LÄN</t>
        </is>
      </c>
      <c r="E53" t="inlineStr">
        <is>
          <t>SÖDERTÄLJE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26566-2019</t>
        </is>
      </c>
      <c r="B54" s="1" t="n">
        <v>43612</v>
      </c>
      <c r="C54" s="1" t="n">
        <v>45794</v>
      </c>
      <c r="D54" t="inlineStr">
        <is>
          <t>STOCKHOLMS LÄN</t>
        </is>
      </c>
      <c r="E54" t="inlineStr">
        <is>
          <t>SÖDERTÄLJE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27505-2019</t>
        </is>
      </c>
      <c r="B55" s="1" t="n">
        <v>43619</v>
      </c>
      <c r="C55" s="1" t="n">
        <v>45794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27502-2019</t>
        </is>
      </c>
      <c r="B56" s="1" t="n">
        <v>43619</v>
      </c>
      <c r="C56" s="1" t="n">
        <v>45794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31662-2019</t>
        </is>
      </c>
      <c r="B57" s="1" t="n">
        <v>43642</v>
      </c>
      <c r="C57" s="1" t="n">
        <v>45794</v>
      </c>
      <c r="D57" t="inlineStr">
        <is>
          <t>STOCKHOLMS LÄN</t>
        </is>
      </c>
      <c r="E57" t="inlineStr">
        <is>
          <t>SÖDERTÄLJE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36882-2019</t>
        </is>
      </c>
      <c r="B58" s="1" t="n">
        <v>43675</v>
      </c>
      <c r="C58" s="1" t="n">
        <v>45794</v>
      </c>
      <c r="D58" t="inlineStr">
        <is>
          <t>STOCKHOLMS LÄN</t>
        </is>
      </c>
      <c r="E58" t="inlineStr">
        <is>
          <t>SÖDERTÄLJE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37227-2019</t>
        </is>
      </c>
      <c r="B59" s="1" t="n">
        <v>43677</v>
      </c>
      <c r="C59" s="1" t="n">
        <v>45794</v>
      </c>
      <c r="D59" t="inlineStr">
        <is>
          <t>STOCKHOLMS LÄN</t>
        </is>
      </c>
      <c r="E59" t="inlineStr">
        <is>
          <t>SÖDERTÄLJE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39090-2019</t>
        </is>
      </c>
      <c r="B60" s="1" t="n">
        <v>43689</v>
      </c>
      <c r="C60" s="1" t="n">
        <v>45794</v>
      </c>
      <c r="D60" t="inlineStr">
        <is>
          <t>STOCKHOLMS LÄN</t>
        </is>
      </c>
      <c r="E60" t="inlineStr">
        <is>
          <t>SÖDERTÄLJE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39083-2019</t>
        </is>
      </c>
      <c r="B61" s="1" t="n">
        <v>43689</v>
      </c>
      <c r="C61" s="1" t="n">
        <v>45794</v>
      </c>
      <c r="D61" t="inlineStr">
        <is>
          <t>STOCKHOLMS LÄN</t>
        </is>
      </c>
      <c r="E61" t="inlineStr">
        <is>
          <t>SÖDERTÄLJE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41065-2019</t>
        </is>
      </c>
      <c r="B62" s="1" t="n">
        <v>43697</v>
      </c>
      <c r="C62" s="1" t="n">
        <v>45794</v>
      </c>
      <c r="D62" t="inlineStr">
        <is>
          <t>STOCKHOLMS LÄN</t>
        </is>
      </c>
      <c r="E62" t="inlineStr">
        <is>
          <t>SÖDERTÄLJE</t>
        </is>
      </c>
      <c r="F62" t="inlineStr">
        <is>
          <t>Övriga statliga verk och myndigheter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42669-2019</t>
        </is>
      </c>
      <c r="B63" s="1" t="n">
        <v>43704</v>
      </c>
      <c r="C63" s="1" t="n">
        <v>45794</v>
      </c>
      <c r="D63" t="inlineStr">
        <is>
          <t>STOCKHOLMS LÄN</t>
        </is>
      </c>
      <c r="E63" t="inlineStr">
        <is>
          <t>SÖDERTÄLJE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44921-2019</t>
        </is>
      </c>
      <c r="B64" s="1" t="n">
        <v>43712</v>
      </c>
      <c r="C64" s="1" t="n">
        <v>45794</v>
      </c>
      <c r="D64" t="inlineStr">
        <is>
          <t>STOCKHOLMS LÄN</t>
        </is>
      </c>
      <c r="E64" t="inlineStr">
        <is>
          <t>SÖDERTÄLJE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45306-2019</t>
        </is>
      </c>
      <c r="B65" s="1" t="n">
        <v>43713</v>
      </c>
      <c r="C65" s="1" t="n">
        <v>45794</v>
      </c>
      <c r="D65" t="inlineStr">
        <is>
          <t>STOCKHOLMS LÄN</t>
        </is>
      </c>
      <c r="E65" t="inlineStr">
        <is>
          <t>SÖDERTÄLJE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49130-2019</t>
        </is>
      </c>
      <c r="B66" s="1" t="n">
        <v>43731</v>
      </c>
      <c r="C66" s="1" t="n">
        <v>45794</v>
      </c>
      <c r="D66" t="inlineStr">
        <is>
          <t>STOCKHOLMS LÄN</t>
        </is>
      </c>
      <c r="E66" t="inlineStr">
        <is>
          <t>SÖDERTÄLJE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49131-2019</t>
        </is>
      </c>
      <c r="B67" s="1" t="n">
        <v>43731</v>
      </c>
      <c r="C67" s="1" t="n">
        <v>45794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50396-2019</t>
        </is>
      </c>
      <c r="B68" s="1" t="n">
        <v>43735</v>
      </c>
      <c r="C68" s="1" t="n">
        <v>45794</v>
      </c>
      <c r="D68" t="inlineStr">
        <is>
          <t>STOCKHOLMS LÄN</t>
        </is>
      </c>
      <c r="E68" t="inlineStr">
        <is>
          <t>SÖDERTÄLJE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50435-2019</t>
        </is>
      </c>
      <c r="B69" s="1" t="n">
        <v>43735</v>
      </c>
      <c r="C69" s="1" t="n">
        <v>45794</v>
      </c>
      <c r="D69" t="inlineStr">
        <is>
          <t>STOCKHOLMS LÄN</t>
        </is>
      </c>
      <c r="E69" t="inlineStr">
        <is>
          <t>SÖDERTÄLJE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50443-2019</t>
        </is>
      </c>
      <c r="B70" s="1" t="n">
        <v>43735</v>
      </c>
      <c r="C70" s="1" t="n">
        <v>45794</v>
      </c>
      <c r="D70" t="inlineStr">
        <is>
          <t>STOCKHOLMS LÄN</t>
        </is>
      </c>
      <c r="E70" t="inlineStr">
        <is>
          <t>SÖDERTÄLJE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50389-2019</t>
        </is>
      </c>
      <c r="B71" s="1" t="n">
        <v>43735</v>
      </c>
      <c r="C71" s="1" t="n">
        <v>45794</v>
      </c>
      <c r="D71" t="inlineStr">
        <is>
          <t>STOCKHOLMS LÄN</t>
        </is>
      </c>
      <c r="E71" t="inlineStr">
        <is>
          <t>SÖDERTÄLJE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50425-2019</t>
        </is>
      </c>
      <c r="B72" s="1" t="n">
        <v>43735</v>
      </c>
      <c r="C72" s="1" t="n">
        <v>45794</v>
      </c>
      <c r="D72" t="inlineStr">
        <is>
          <t>STOCKHOLMS LÄN</t>
        </is>
      </c>
      <c r="E72" t="inlineStr">
        <is>
          <t>SÖDERTÄLJE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50446-2019</t>
        </is>
      </c>
      <c r="B73" s="1" t="n">
        <v>43735</v>
      </c>
      <c r="C73" s="1" t="n">
        <v>45794</v>
      </c>
      <c r="D73" t="inlineStr">
        <is>
          <t>STOCKHOLMS LÄN</t>
        </is>
      </c>
      <c r="E73" t="inlineStr">
        <is>
          <t>SÖDERTÄLJE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50441-2019</t>
        </is>
      </c>
      <c r="B74" s="1" t="n">
        <v>43735</v>
      </c>
      <c r="C74" s="1" t="n">
        <v>45794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50419-2019</t>
        </is>
      </c>
      <c r="B75" s="1" t="n">
        <v>43735</v>
      </c>
      <c r="C75" s="1" t="n">
        <v>45794</v>
      </c>
      <c r="D75" t="inlineStr">
        <is>
          <t>STOCKHOLMS LÄN</t>
        </is>
      </c>
      <c r="E75" t="inlineStr">
        <is>
          <t>SÖDERTÄLJE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55974-2019</t>
        </is>
      </c>
      <c r="B76" s="1" t="n">
        <v>43759</v>
      </c>
      <c r="C76" s="1" t="n">
        <v>45794</v>
      </c>
      <c r="D76" t="inlineStr">
        <is>
          <t>STOCKHOLMS LÄN</t>
        </is>
      </c>
      <c r="E76" t="inlineStr">
        <is>
          <t>SÖDERTÄLJE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55866-2019</t>
        </is>
      </c>
      <c r="B77" s="1" t="n">
        <v>43759</v>
      </c>
      <c r="C77" s="1" t="n">
        <v>45794</v>
      </c>
      <c r="D77" t="inlineStr">
        <is>
          <t>STOCKHOLMS LÄN</t>
        </is>
      </c>
      <c r="E77" t="inlineStr">
        <is>
          <t>SÖDERTÄLJE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55954-2019</t>
        </is>
      </c>
      <c r="B78" s="1" t="n">
        <v>43759</v>
      </c>
      <c r="C78" s="1" t="n">
        <v>45794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55965-2019</t>
        </is>
      </c>
      <c r="B79" s="1" t="n">
        <v>43759</v>
      </c>
      <c r="C79" s="1" t="n">
        <v>45794</v>
      </c>
      <c r="D79" t="inlineStr">
        <is>
          <t>STOCKHOLMS LÄN</t>
        </is>
      </c>
      <c r="E79" t="inlineStr">
        <is>
          <t>SÖDERTÄLJE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55870-2019</t>
        </is>
      </c>
      <c r="B80" s="1" t="n">
        <v>43759</v>
      </c>
      <c r="C80" s="1" t="n">
        <v>45794</v>
      </c>
      <c r="D80" t="inlineStr">
        <is>
          <t>STOCKHOLMS LÄN</t>
        </is>
      </c>
      <c r="E80" t="inlineStr">
        <is>
          <t>SÖDERTÄLJE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55848-2019</t>
        </is>
      </c>
      <c r="B81" s="1" t="n">
        <v>43759</v>
      </c>
      <c r="C81" s="1" t="n">
        <v>45794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55980-2019</t>
        </is>
      </c>
      <c r="B82" s="1" t="n">
        <v>43759</v>
      </c>
      <c r="C82" s="1" t="n">
        <v>45794</v>
      </c>
      <c r="D82" t="inlineStr">
        <is>
          <t>STOCKHOLMS LÄN</t>
        </is>
      </c>
      <c r="E82" t="inlineStr">
        <is>
          <t>SÖDERTÄLJE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59155-2019</t>
        </is>
      </c>
      <c r="B83" s="1" t="n">
        <v>43775</v>
      </c>
      <c r="C83" s="1" t="n">
        <v>45794</v>
      </c>
      <c r="D83" t="inlineStr">
        <is>
          <t>STOCKHOLMS LÄN</t>
        </is>
      </c>
      <c r="E83" t="inlineStr">
        <is>
          <t>SÖDERTÄLJE</t>
        </is>
      </c>
      <c r="F83" t="inlineStr">
        <is>
          <t>Kommuner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59790-2019</t>
        </is>
      </c>
      <c r="B84" s="1" t="n">
        <v>43776</v>
      </c>
      <c r="C84" s="1" t="n">
        <v>45794</v>
      </c>
      <c r="D84" t="inlineStr">
        <is>
          <t>STOCKHOLMS LÄN</t>
        </is>
      </c>
      <c r="E84" t="inlineStr">
        <is>
          <t>SÖDERTÄLJE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64995-2019</t>
        </is>
      </c>
      <c r="B85" s="1" t="n">
        <v>43801</v>
      </c>
      <c r="C85" s="1" t="n">
        <v>45794</v>
      </c>
      <c r="D85" t="inlineStr">
        <is>
          <t>STOCKHOLMS LÄN</t>
        </is>
      </c>
      <c r="E85" t="inlineStr">
        <is>
          <t>SÖDERTÄLJE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64938-2019</t>
        </is>
      </c>
      <c r="B86" s="1" t="n">
        <v>43801</v>
      </c>
      <c r="C86" s="1" t="n">
        <v>45794</v>
      </c>
      <c r="D86" t="inlineStr">
        <is>
          <t>STOCKHOLMS LÄN</t>
        </is>
      </c>
      <c r="E86" t="inlineStr">
        <is>
          <t>SÖDERTÄLJE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630-2020</t>
        </is>
      </c>
      <c r="B87" s="1" t="n">
        <v>43838</v>
      </c>
      <c r="C87" s="1" t="n">
        <v>45794</v>
      </c>
      <c r="D87" t="inlineStr">
        <is>
          <t>STOCKHOLMS LÄN</t>
        </is>
      </c>
      <c r="E87" t="inlineStr">
        <is>
          <t>SÖDERTÄLJE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2559-2020</t>
        </is>
      </c>
      <c r="B88" s="1" t="n">
        <v>43843</v>
      </c>
      <c r="C88" s="1" t="n">
        <v>45794</v>
      </c>
      <c r="D88" t="inlineStr">
        <is>
          <t>STOCKHOLMS LÄN</t>
        </is>
      </c>
      <c r="E88" t="inlineStr">
        <is>
          <t>SÖDERTÄLJE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1811-2020</t>
        </is>
      </c>
      <c r="B89" s="1" t="n">
        <v>43844</v>
      </c>
      <c r="C89" s="1" t="n">
        <v>45794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6707-2020</t>
        </is>
      </c>
      <c r="B90" s="1" t="n">
        <v>43867</v>
      </c>
      <c r="C90" s="1" t="n">
        <v>45794</v>
      </c>
      <c r="D90" t="inlineStr">
        <is>
          <t>STOCKHOLMS LÄN</t>
        </is>
      </c>
      <c r="E90" t="inlineStr">
        <is>
          <t>SÖDERTÄLJE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8366-2020</t>
        </is>
      </c>
      <c r="B91" s="1" t="n">
        <v>43875</v>
      </c>
      <c r="C91" s="1" t="n">
        <v>45794</v>
      </c>
      <c r="D91" t="inlineStr">
        <is>
          <t>STOCKHOLMS LÄN</t>
        </is>
      </c>
      <c r="E91" t="inlineStr">
        <is>
          <t>SÖDERTÄLJE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10551-2020</t>
        </is>
      </c>
      <c r="B92" s="1" t="n">
        <v>43887</v>
      </c>
      <c r="C92" s="1" t="n">
        <v>45794</v>
      </c>
      <c r="D92" t="inlineStr">
        <is>
          <t>STOCKHOLMS LÄN</t>
        </is>
      </c>
      <c r="E92" t="inlineStr">
        <is>
          <t>SÖDERTÄLJE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20196-2020</t>
        </is>
      </c>
      <c r="B93" s="1" t="n">
        <v>43944</v>
      </c>
      <c r="C93" s="1" t="n">
        <v>45794</v>
      </c>
      <c r="D93" t="inlineStr">
        <is>
          <t>STOCKHOLMS LÄN</t>
        </is>
      </c>
      <c r="E93" t="inlineStr">
        <is>
          <t>SÖDERTÄLJE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27278-2020</t>
        </is>
      </c>
      <c r="B94" s="1" t="n">
        <v>43992</v>
      </c>
      <c r="C94" s="1" t="n">
        <v>45794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38010-2020</t>
        </is>
      </c>
      <c r="B95" s="1" t="n">
        <v>44057</v>
      </c>
      <c r="C95" s="1" t="n">
        <v>45794</v>
      </c>
      <c r="D95" t="inlineStr">
        <is>
          <t>STOCKHOLMS LÄN</t>
        </is>
      </c>
      <c r="E95" t="inlineStr">
        <is>
          <t>SÖDERTÄLJE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41080-2020</t>
        </is>
      </c>
      <c r="B96" s="1" t="n">
        <v>44069</v>
      </c>
      <c r="C96" s="1" t="n">
        <v>45794</v>
      </c>
      <c r="D96" t="inlineStr">
        <is>
          <t>STOCKHOLMS LÄN</t>
        </is>
      </c>
      <c r="E96" t="inlineStr">
        <is>
          <t>SÖDERTÄLJE</t>
        </is>
      </c>
      <c r="G96" t="n">
        <v>19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43237-2020</t>
        </is>
      </c>
      <c r="B97" s="1" t="n">
        <v>44076</v>
      </c>
      <c r="C97" s="1" t="n">
        <v>45794</v>
      </c>
      <c r="D97" t="inlineStr">
        <is>
          <t>STOCKHOLMS LÄN</t>
        </is>
      </c>
      <c r="E97" t="inlineStr">
        <is>
          <t>SÖDERTÄLJE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44577-2020</t>
        </is>
      </c>
      <c r="B98" s="1" t="n">
        <v>44085</v>
      </c>
      <c r="C98" s="1" t="n">
        <v>45794</v>
      </c>
      <c r="D98" t="inlineStr">
        <is>
          <t>STOCKHOLMS LÄN</t>
        </is>
      </c>
      <c r="E98" t="inlineStr">
        <is>
          <t>SÖDERTÄLJE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46661-2020</t>
        </is>
      </c>
      <c r="B99" s="1" t="n">
        <v>44095</v>
      </c>
      <c r="C99" s="1" t="n">
        <v>45794</v>
      </c>
      <c r="D99" t="inlineStr">
        <is>
          <t>STOCKHOLMS LÄN</t>
        </is>
      </c>
      <c r="E99" t="inlineStr">
        <is>
          <t>SÖDERTÄLJE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46899-2020</t>
        </is>
      </c>
      <c r="B100" s="1" t="n">
        <v>44096</v>
      </c>
      <c r="C100" s="1" t="n">
        <v>45794</v>
      </c>
      <c r="D100" t="inlineStr">
        <is>
          <t>STOCKHOLMS LÄN</t>
        </is>
      </c>
      <c r="E100" t="inlineStr">
        <is>
          <t>SÖDERTÄLJE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49938-2020</t>
        </is>
      </c>
      <c r="B101" s="1" t="n">
        <v>44109</v>
      </c>
      <c r="C101" s="1" t="n">
        <v>45794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Kommuner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50529-2020</t>
        </is>
      </c>
      <c r="B102" s="1" t="n">
        <v>44110</v>
      </c>
      <c r="C102" s="1" t="n">
        <v>45794</v>
      </c>
      <c r="D102" t="inlineStr">
        <is>
          <t>STOCKHOLMS LÄN</t>
        </is>
      </c>
      <c r="E102" t="inlineStr">
        <is>
          <t>SÖDERTÄLJE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50524-2020</t>
        </is>
      </c>
      <c r="B103" s="1" t="n">
        <v>44110</v>
      </c>
      <c r="C103" s="1" t="n">
        <v>45794</v>
      </c>
      <c r="D103" t="inlineStr">
        <is>
          <t>STOCKHOLMS LÄN</t>
        </is>
      </c>
      <c r="E103" t="inlineStr">
        <is>
          <t>SÖDERTÄLJE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50520-2020</t>
        </is>
      </c>
      <c r="B104" s="1" t="n">
        <v>44110</v>
      </c>
      <c r="C104" s="1" t="n">
        <v>45794</v>
      </c>
      <c r="D104" t="inlineStr">
        <is>
          <t>STOCKHOLMS LÄN</t>
        </is>
      </c>
      <c r="E104" t="inlineStr">
        <is>
          <t>SÖDERTÄLJE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50527-2020</t>
        </is>
      </c>
      <c r="B105" s="1" t="n">
        <v>44110</v>
      </c>
      <c r="C105" s="1" t="n">
        <v>45794</v>
      </c>
      <c r="D105" t="inlineStr">
        <is>
          <t>STOCKHOLMS LÄN</t>
        </is>
      </c>
      <c r="E105" t="inlineStr">
        <is>
          <t>SÖDERTÄLJE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50523-2020</t>
        </is>
      </c>
      <c r="B106" s="1" t="n">
        <v>44110</v>
      </c>
      <c r="C106" s="1" t="n">
        <v>45794</v>
      </c>
      <c r="D106" t="inlineStr">
        <is>
          <t>STOCKHOLMS LÄN</t>
        </is>
      </c>
      <c r="E106" t="inlineStr">
        <is>
          <t>SÖDERTÄLJE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51203-2020</t>
        </is>
      </c>
      <c r="B107" s="1" t="n">
        <v>44112</v>
      </c>
      <c r="C107" s="1" t="n">
        <v>45794</v>
      </c>
      <c r="D107" t="inlineStr">
        <is>
          <t>STOCKHOLMS LÄN</t>
        </is>
      </c>
      <c r="E107" t="inlineStr">
        <is>
          <t>SÖDERTÄLJE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53750-2020</t>
        </is>
      </c>
      <c r="B108" s="1" t="n">
        <v>44124</v>
      </c>
      <c r="C108" s="1" t="n">
        <v>45794</v>
      </c>
      <c r="D108" t="inlineStr">
        <is>
          <t>STOCKHOLMS LÄN</t>
        </is>
      </c>
      <c r="E108" t="inlineStr">
        <is>
          <t>SÖDERTÄLJE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55466-2020</t>
        </is>
      </c>
      <c r="B109" s="1" t="n">
        <v>44130</v>
      </c>
      <c r="C109" s="1" t="n">
        <v>45794</v>
      </c>
      <c r="D109" t="inlineStr">
        <is>
          <t>STOCKHOLMS LÄN</t>
        </is>
      </c>
      <c r="E109" t="inlineStr">
        <is>
          <t>SÖDERTÄLJE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55464-2020</t>
        </is>
      </c>
      <c r="B110" s="1" t="n">
        <v>44130</v>
      </c>
      <c r="C110" s="1" t="n">
        <v>45794</v>
      </c>
      <c r="D110" t="inlineStr">
        <is>
          <t>STOCKHOLMS LÄN</t>
        </is>
      </c>
      <c r="E110" t="inlineStr">
        <is>
          <t>SÖDERTÄLJE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57992-2020</t>
        </is>
      </c>
      <c r="B111" s="1" t="n">
        <v>44143</v>
      </c>
      <c r="C111" s="1" t="n">
        <v>45794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68721-2020</t>
        </is>
      </c>
      <c r="B112" s="1" t="n">
        <v>44187</v>
      </c>
      <c r="C112" s="1" t="n">
        <v>45794</v>
      </c>
      <c r="D112" t="inlineStr">
        <is>
          <t>STOCKHOLMS LÄN</t>
        </is>
      </c>
      <c r="E112" t="inlineStr">
        <is>
          <t>SÖDERTÄLJE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9986-2021</t>
        </is>
      </c>
      <c r="B113" s="1" t="n">
        <v>44254</v>
      </c>
      <c r="C113" s="1" t="n">
        <v>45794</v>
      </c>
      <c r="D113" t="inlineStr">
        <is>
          <t>STOCKHOLMS LÄN</t>
        </is>
      </c>
      <c r="E113" t="inlineStr">
        <is>
          <t>SÖDERTÄLJE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11126-2021</t>
        </is>
      </c>
      <c r="B114" s="1" t="n">
        <v>44260</v>
      </c>
      <c r="C114" s="1" t="n">
        <v>45794</v>
      </c>
      <c r="D114" t="inlineStr">
        <is>
          <t>STOCKHOLMS LÄN</t>
        </is>
      </c>
      <c r="E114" t="inlineStr">
        <is>
          <t>SÖDERTÄLJE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11361-2021</t>
        </is>
      </c>
      <c r="B115" s="1" t="n">
        <v>44263</v>
      </c>
      <c r="C115" s="1" t="n">
        <v>45794</v>
      </c>
      <c r="D115" t="inlineStr">
        <is>
          <t>STOCKHOLMS LÄN</t>
        </is>
      </c>
      <c r="E115" t="inlineStr">
        <is>
          <t>SÖDERTÄLJE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11360-2021</t>
        </is>
      </c>
      <c r="B116" s="1" t="n">
        <v>44263</v>
      </c>
      <c r="C116" s="1" t="n">
        <v>45794</v>
      </c>
      <c r="D116" t="inlineStr">
        <is>
          <t>STOCKHOLMS LÄN</t>
        </is>
      </c>
      <c r="E116" t="inlineStr">
        <is>
          <t>SÖDERTÄLJE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11368-2021</t>
        </is>
      </c>
      <c r="B117" s="1" t="n">
        <v>44263</v>
      </c>
      <c r="C117" s="1" t="n">
        <v>45794</v>
      </c>
      <c r="D117" t="inlineStr">
        <is>
          <t>STOCKHOLMS LÄN</t>
        </is>
      </c>
      <c r="E117" t="inlineStr">
        <is>
          <t>SÖDERTÄLJE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12126-2021</t>
        </is>
      </c>
      <c r="B118" s="1" t="n">
        <v>44266</v>
      </c>
      <c r="C118" s="1" t="n">
        <v>45794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12901-2021</t>
        </is>
      </c>
      <c r="B119" s="1" t="n">
        <v>44271</v>
      </c>
      <c r="C119" s="1" t="n">
        <v>45794</v>
      </c>
      <c r="D119" t="inlineStr">
        <is>
          <t>STOCKHOLMS LÄN</t>
        </is>
      </c>
      <c r="E119" t="inlineStr">
        <is>
          <t>SÖDERTÄLJE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14664-2021</t>
        </is>
      </c>
      <c r="B120" s="1" t="n">
        <v>44280</v>
      </c>
      <c r="C120" s="1" t="n">
        <v>45794</v>
      </c>
      <c r="D120" t="inlineStr">
        <is>
          <t>STOCKHOLMS LÄN</t>
        </is>
      </c>
      <c r="E120" t="inlineStr">
        <is>
          <t>SÖDERTÄLJE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14635-2021</t>
        </is>
      </c>
      <c r="B121" s="1" t="n">
        <v>44280</v>
      </c>
      <c r="C121" s="1" t="n">
        <v>45794</v>
      </c>
      <c r="D121" t="inlineStr">
        <is>
          <t>STOCKHOLMS LÄN</t>
        </is>
      </c>
      <c r="E121" t="inlineStr">
        <is>
          <t>SÖDERTÄLJE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25871-2021</t>
        </is>
      </c>
      <c r="B122" s="1" t="n">
        <v>44344</v>
      </c>
      <c r="C122" s="1" t="n">
        <v>45794</v>
      </c>
      <c r="D122" t="inlineStr">
        <is>
          <t>STOCKHOLMS LÄN</t>
        </is>
      </c>
      <c r="E122" t="inlineStr">
        <is>
          <t>SÖDERTÄLJE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25873-2021</t>
        </is>
      </c>
      <c r="B123" s="1" t="n">
        <v>44344</v>
      </c>
      <c r="C123" s="1" t="n">
        <v>45794</v>
      </c>
      <c r="D123" t="inlineStr">
        <is>
          <t>STOCKHOLMS LÄN</t>
        </is>
      </c>
      <c r="E123" t="inlineStr">
        <is>
          <t>SÖDERTÄLJE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27706-2021</t>
        </is>
      </c>
      <c r="B124" s="1" t="n">
        <v>44354</v>
      </c>
      <c r="C124" s="1" t="n">
        <v>45794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27715-2021</t>
        </is>
      </c>
      <c r="B125" s="1" t="n">
        <v>44354</v>
      </c>
      <c r="C125" s="1" t="n">
        <v>45794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27747-2021</t>
        </is>
      </c>
      <c r="B126" s="1" t="n">
        <v>44354</v>
      </c>
      <c r="C126" s="1" t="n">
        <v>45794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27739-2021</t>
        </is>
      </c>
      <c r="B127" s="1" t="n">
        <v>44354</v>
      </c>
      <c r="C127" s="1" t="n">
        <v>45794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27750-2021</t>
        </is>
      </c>
      <c r="B128" s="1" t="n">
        <v>44354</v>
      </c>
      <c r="C128" s="1" t="n">
        <v>45794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27769-2021</t>
        </is>
      </c>
      <c r="B129" s="1" t="n">
        <v>44354</v>
      </c>
      <c r="C129" s="1" t="n">
        <v>45794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27740-2021</t>
        </is>
      </c>
      <c r="B130" s="1" t="n">
        <v>44354</v>
      </c>
      <c r="C130" s="1" t="n">
        <v>45794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27753-2021</t>
        </is>
      </c>
      <c r="B131" s="1" t="n">
        <v>44354</v>
      </c>
      <c r="C131" s="1" t="n">
        <v>45794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27771-2021</t>
        </is>
      </c>
      <c r="B132" s="1" t="n">
        <v>44354</v>
      </c>
      <c r="C132" s="1" t="n">
        <v>45794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28136-2021</t>
        </is>
      </c>
      <c r="B133" s="1" t="n">
        <v>44355</v>
      </c>
      <c r="C133" s="1" t="n">
        <v>45794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34449-2021</t>
        </is>
      </c>
      <c r="B134" s="1" t="n">
        <v>44381</v>
      </c>
      <c r="C134" s="1" t="n">
        <v>45794</v>
      </c>
      <c r="D134" t="inlineStr">
        <is>
          <t>STOCKHOLMS LÄN</t>
        </is>
      </c>
      <c r="E134" t="inlineStr">
        <is>
          <t>SÖDERTÄLJE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34450-2021</t>
        </is>
      </c>
      <c r="B135" s="1" t="n">
        <v>44381</v>
      </c>
      <c r="C135" s="1" t="n">
        <v>45794</v>
      </c>
      <c r="D135" t="inlineStr">
        <is>
          <t>STOCKHOLMS LÄN</t>
        </is>
      </c>
      <c r="E135" t="inlineStr">
        <is>
          <t>SÖDERTÄLJE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37676-2021</t>
        </is>
      </c>
      <c r="B136" s="1" t="n">
        <v>44400</v>
      </c>
      <c r="C136" s="1" t="n">
        <v>45794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37681-2021</t>
        </is>
      </c>
      <c r="B137" s="1" t="n">
        <v>44400</v>
      </c>
      <c r="C137" s="1" t="n">
        <v>45794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39133-2021</t>
        </is>
      </c>
      <c r="B138" s="1" t="n">
        <v>44412</v>
      </c>
      <c r="C138" s="1" t="n">
        <v>45794</v>
      </c>
      <c r="D138" t="inlineStr">
        <is>
          <t>STOCKHOLMS LÄN</t>
        </is>
      </c>
      <c r="E138" t="inlineStr">
        <is>
          <t>SÖDERTÄLJE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40751-2021</t>
        </is>
      </c>
      <c r="B139" s="1" t="n">
        <v>44420</v>
      </c>
      <c r="C139" s="1" t="n">
        <v>45794</v>
      </c>
      <c r="D139" t="inlineStr">
        <is>
          <t>STOCKHOLMS LÄN</t>
        </is>
      </c>
      <c r="E139" t="inlineStr">
        <is>
          <t>SÖDERTÄLJE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44650-2021</t>
        </is>
      </c>
      <c r="B140" s="1" t="n">
        <v>44437</v>
      </c>
      <c r="C140" s="1" t="n">
        <v>45794</v>
      </c>
      <c r="D140" t="inlineStr">
        <is>
          <t>STOCKHOLMS LÄN</t>
        </is>
      </c>
      <c r="E140" t="inlineStr">
        <is>
          <t>SÖDERTÄLJE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45674-2021</t>
        </is>
      </c>
      <c r="B141" s="1" t="n">
        <v>44441</v>
      </c>
      <c r="C141" s="1" t="n">
        <v>45794</v>
      </c>
      <c r="D141" t="inlineStr">
        <is>
          <t>STOCKHOLMS LÄN</t>
        </is>
      </c>
      <c r="E141" t="inlineStr">
        <is>
          <t>SÖDERTÄLJE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46688-2021</t>
        </is>
      </c>
      <c r="B142" s="1" t="n">
        <v>44445</v>
      </c>
      <c r="C142" s="1" t="n">
        <v>45794</v>
      </c>
      <c r="D142" t="inlineStr">
        <is>
          <t>STOCKHOLMS LÄN</t>
        </is>
      </c>
      <c r="E142" t="inlineStr">
        <is>
          <t>SÖDERTÄLJE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46671-2021</t>
        </is>
      </c>
      <c r="B143" s="1" t="n">
        <v>44445</v>
      </c>
      <c r="C143" s="1" t="n">
        <v>45794</v>
      </c>
      <c r="D143" t="inlineStr">
        <is>
          <t>STOCKHOLMS LÄN</t>
        </is>
      </c>
      <c r="E143" t="inlineStr">
        <is>
          <t>SÖDERTÄLJE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48387-2021</t>
        </is>
      </c>
      <c r="B144" s="1" t="n">
        <v>44451</v>
      </c>
      <c r="C144" s="1" t="n">
        <v>45794</v>
      </c>
      <c r="D144" t="inlineStr">
        <is>
          <t>STOCKHOLMS LÄN</t>
        </is>
      </c>
      <c r="E144" t="inlineStr">
        <is>
          <t>SÖDERTÄLJE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49136-2021</t>
        </is>
      </c>
      <c r="B145" s="1" t="n">
        <v>44454</v>
      </c>
      <c r="C145" s="1" t="n">
        <v>45794</v>
      </c>
      <c r="D145" t="inlineStr">
        <is>
          <t>STOCKHOLMS LÄN</t>
        </is>
      </c>
      <c r="E145" t="inlineStr">
        <is>
          <t>SÖDERTÄLJE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50059-2021</t>
        </is>
      </c>
      <c r="B146" s="1" t="n">
        <v>44455</v>
      </c>
      <c r="C146" s="1" t="n">
        <v>45794</v>
      </c>
      <c r="D146" t="inlineStr">
        <is>
          <t>STOCKHOLMS LÄN</t>
        </is>
      </c>
      <c r="E146" t="inlineStr">
        <is>
          <t>SÖDERTÄLJE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50117-2021</t>
        </is>
      </c>
      <c r="B147" s="1" t="n">
        <v>44456</v>
      </c>
      <c r="C147" s="1" t="n">
        <v>45794</v>
      </c>
      <c r="D147" t="inlineStr">
        <is>
          <t>STOCKHOLMS LÄN</t>
        </is>
      </c>
      <c r="E147" t="inlineStr">
        <is>
          <t>SÖDERTÄLJE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51482-2021</t>
        </is>
      </c>
      <c r="B148" s="1" t="n">
        <v>44460</v>
      </c>
      <c r="C148" s="1" t="n">
        <v>45794</v>
      </c>
      <c r="D148" t="inlineStr">
        <is>
          <t>STOCKHOLMS LÄN</t>
        </is>
      </c>
      <c r="E148" t="inlineStr">
        <is>
          <t>SÖDERTÄLJE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51454-2021</t>
        </is>
      </c>
      <c r="B149" s="1" t="n">
        <v>44460</v>
      </c>
      <c r="C149" s="1" t="n">
        <v>45794</v>
      </c>
      <c r="D149" t="inlineStr">
        <is>
          <t>STOCKHOLMS LÄN</t>
        </is>
      </c>
      <c r="E149" t="inlineStr">
        <is>
          <t>SÖDERTÄLJE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52214-2021</t>
        </is>
      </c>
      <c r="B150" s="1" t="n">
        <v>44462</v>
      </c>
      <c r="C150" s="1" t="n">
        <v>45794</v>
      </c>
      <c r="D150" t="inlineStr">
        <is>
          <t>STOCKHOLMS LÄN</t>
        </is>
      </c>
      <c r="E150" t="inlineStr">
        <is>
          <t>SÖDERTÄLJE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53042-2021</t>
        </is>
      </c>
      <c r="B151" s="1" t="n">
        <v>44467</v>
      </c>
      <c r="C151" s="1" t="n">
        <v>45794</v>
      </c>
      <c r="D151" t="inlineStr">
        <is>
          <t>STOCKHOLMS LÄN</t>
        </is>
      </c>
      <c r="E151" t="inlineStr">
        <is>
          <t>SÖDERTÄLJE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57039-2021</t>
        </is>
      </c>
      <c r="B152" s="1" t="n">
        <v>44482</v>
      </c>
      <c r="C152" s="1" t="n">
        <v>45794</v>
      </c>
      <c r="D152" t="inlineStr">
        <is>
          <t>STOCKHOLMS LÄN</t>
        </is>
      </c>
      <c r="E152" t="inlineStr">
        <is>
          <t>SÖDERTÄLJE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57884-2021</t>
        </is>
      </c>
      <c r="B153" s="1" t="n">
        <v>44485</v>
      </c>
      <c r="C153" s="1" t="n">
        <v>45794</v>
      </c>
      <c r="D153" t="inlineStr">
        <is>
          <t>STOCKHOLMS LÄN</t>
        </is>
      </c>
      <c r="E153" t="inlineStr">
        <is>
          <t>SÖDERTÄLJE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59235-2021</t>
        </is>
      </c>
      <c r="B154" s="1" t="n">
        <v>44490</v>
      </c>
      <c r="C154" s="1" t="n">
        <v>45794</v>
      </c>
      <c r="D154" t="inlineStr">
        <is>
          <t>STOCKHOLMS LÄN</t>
        </is>
      </c>
      <c r="E154" t="inlineStr">
        <is>
          <t>SÖDERTÄLJE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63644-2021</t>
        </is>
      </c>
      <c r="B155" s="1" t="n">
        <v>44508</v>
      </c>
      <c r="C155" s="1" t="n">
        <v>45794</v>
      </c>
      <c r="D155" t="inlineStr">
        <is>
          <t>STOCKHOLMS LÄN</t>
        </is>
      </c>
      <c r="E155" t="inlineStr">
        <is>
          <t>SÖDERTÄLJE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64111-2021</t>
        </is>
      </c>
      <c r="B156" s="1" t="n">
        <v>44509</v>
      </c>
      <c r="C156" s="1" t="n">
        <v>45794</v>
      </c>
      <c r="D156" t="inlineStr">
        <is>
          <t>STOCKHOLMS LÄN</t>
        </is>
      </c>
      <c r="E156" t="inlineStr">
        <is>
          <t>SÖDERTÄLJE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70201-2021</t>
        </is>
      </c>
      <c r="B157" s="1" t="n">
        <v>44534</v>
      </c>
      <c r="C157" s="1" t="n">
        <v>45794</v>
      </c>
      <c r="D157" t="inlineStr">
        <is>
          <t>STOCKHOLMS LÄN</t>
        </is>
      </c>
      <c r="E157" t="inlineStr">
        <is>
          <t>SÖDERTÄLJE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72218-2021</t>
        </is>
      </c>
      <c r="B158" s="1" t="n">
        <v>44544</v>
      </c>
      <c r="C158" s="1" t="n">
        <v>45794</v>
      </c>
      <c r="D158" t="inlineStr">
        <is>
          <t>STOCKHOLMS LÄN</t>
        </is>
      </c>
      <c r="E158" t="inlineStr">
        <is>
          <t>SÖDERTÄLJE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314-2022</t>
        </is>
      </c>
      <c r="B159" s="1" t="n">
        <v>44564</v>
      </c>
      <c r="C159" s="1" t="n">
        <v>45794</v>
      </c>
      <c r="D159" t="inlineStr">
        <is>
          <t>STOCKHOLMS LÄN</t>
        </is>
      </c>
      <c r="E159" t="inlineStr">
        <is>
          <t>SÖDERTÄLJE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386-2022</t>
        </is>
      </c>
      <c r="B160" s="1" t="n">
        <v>44565</v>
      </c>
      <c r="C160" s="1" t="n">
        <v>45794</v>
      </c>
      <c r="D160" t="inlineStr">
        <is>
          <t>STOCKHOLMS LÄN</t>
        </is>
      </c>
      <c r="E160" t="inlineStr">
        <is>
          <t>SÖDERTÄLJE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1016-2022</t>
        </is>
      </c>
      <c r="B161" s="1" t="n">
        <v>44571</v>
      </c>
      <c r="C161" s="1" t="n">
        <v>45794</v>
      </c>
      <c r="D161" t="inlineStr">
        <is>
          <t>STOCKHOLMS LÄN</t>
        </is>
      </c>
      <c r="E161" t="inlineStr">
        <is>
          <t>SÖDERTÄLJE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1939-2022</t>
        </is>
      </c>
      <c r="B162" s="1" t="n">
        <v>44575</v>
      </c>
      <c r="C162" s="1" t="n">
        <v>45794</v>
      </c>
      <c r="D162" t="inlineStr">
        <is>
          <t>STOCKHOLMS LÄN</t>
        </is>
      </c>
      <c r="E162" t="inlineStr">
        <is>
          <t>SÖDERTÄLJE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2849-2022</t>
        </is>
      </c>
      <c r="B163" s="1" t="n">
        <v>44581</v>
      </c>
      <c r="C163" s="1" t="n">
        <v>45794</v>
      </c>
      <c r="D163" t="inlineStr">
        <is>
          <t>STOCKHOLMS LÄN</t>
        </is>
      </c>
      <c r="E163" t="inlineStr">
        <is>
          <t>SÖDERTÄLJE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3596-2022</t>
        </is>
      </c>
      <c r="B164" s="1" t="n">
        <v>44586</v>
      </c>
      <c r="C164" s="1" t="n">
        <v>45794</v>
      </c>
      <c r="D164" t="inlineStr">
        <is>
          <t>STOCKHOLMS LÄN</t>
        </is>
      </c>
      <c r="E164" t="inlineStr">
        <is>
          <t>SÖDERTÄLJE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3592-2022</t>
        </is>
      </c>
      <c r="B165" s="1" t="n">
        <v>44586</v>
      </c>
      <c r="C165" s="1" t="n">
        <v>45794</v>
      </c>
      <c r="D165" t="inlineStr">
        <is>
          <t>STOCKHOLMS LÄN</t>
        </is>
      </c>
      <c r="E165" t="inlineStr">
        <is>
          <t>SÖDERTÄLJE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3585-2022</t>
        </is>
      </c>
      <c r="B166" s="1" t="n">
        <v>44586</v>
      </c>
      <c r="C166" s="1" t="n">
        <v>45794</v>
      </c>
      <c r="D166" t="inlineStr">
        <is>
          <t>STOCKHOLMS LÄN</t>
        </is>
      </c>
      <c r="E166" t="inlineStr">
        <is>
          <t>SÖDERTÄLJE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6295-2022</t>
        </is>
      </c>
      <c r="B167" s="1" t="n">
        <v>44600</v>
      </c>
      <c r="C167" s="1" t="n">
        <v>45794</v>
      </c>
      <c r="D167" t="inlineStr">
        <is>
          <t>STOCKHOLMS LÄN</t>
        </is>
      </c>
      <c r="E167" t="inlineStr">
        <is>
          <t>SÖDERTÄLJE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6740-2022</t>
        </is>
      </c>
      <c r="B168" s="1" t="n">
        <v>44602</v>
      </c>
      <c r="C168" s="1" t="n">
        <v>45794</v>
      </c>
      <c r="D168" t="inlineStr">
        <is>
          <t>STOCKHOLMS LÄN</t>
        </is>
      </c>
      <c r="E168" t="inlineStr">
        <is>
          <t>SÖDERTÄLJE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6886-2022</t>
        </is>
      </c>
      <c r="B169" s="1" t="n">
        <v>44602</v>
      </c>
      <c r="C169" s="1" t="n">
        <v>45794</v>
      </c>
      <c r="D169" t="inlineStr">
        <is>
          <t>STOCKHOLMS LÄN</t>
        </is>
      </c>
      <c r="E169" t="inlineStr">
        <is>
          <t>SÖDERTÄLJE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12691-2022</t>
        </is>
      </c>
      <c r="B170" s="1" t="n">
        <v>44641</v>
      </c>
      <c r="C170" s="1" t="n">
        <v>45794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Övriga Aktiebolag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16437-2022</t>
        </is>
      </c>
      <c r="B171" s="1" t="n">
        <v>44671</v>
      </c>
      <c r="C171" s="1" t="n">
        <v>45794</v>
      </c>
      <c r="D171" t="inlineStr">
        <is>
          <t>STOCKHOLMS LÄN</t>
        </is>
      </c>
      <c r="E171" t="inlineStr">
        <is>
          <t>SÖDERTÄLJE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16433-2022</t>
        </is>
      </c>
      <c r="B172" s="1" t="n">
        <v>44671</v>
      </c>
      <c r="C172" s="1" t="n">
        <v>45794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16724-2022</t>
        </is>
      </c>
      <c r="B173" s="1" t="n">
        <v>44673</v>
      </c>
      <c r="C173" s="1" t="n">
        <v>45794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Övriga statliga verk och myndigheter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20016-2022</t>
        </is>
      </c>
      <c r="B174" s="1" t="n">
        <v>44697</v>
      </c>
      <c r="C174" s="1" t="n">
        <v>45794</v>
      </c>
      <c r="D174" t="inlineStr">
        <is>
          <t>STOCKHOLMS LÄN</t>
        </is>
      </c>
      <c r="E174" t="inlineStr">
        <is>
          <t>SÖDERTÄLJE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20411-2022</t>
        </is>
      </c>
      <c r="B175" s="1" t="n">
        <v>44699</v>
      </c>
      <c r="C175" s="1" t="n">
        <v>45794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23956-2022</t>
        </is>
      </c>
      <c r="B176" s="1" t="n">
        <v>44722</v>
      </c>
      <c r="C176" s="1" t="n">
        <v>45794</v>
      </c>
      <c r="D176" t="inlineStr">
        <is>
          <t>STOCKHOLMS LÄN</t>
        </is>
      </c>
      <c r="E176" t="inlineStr">
        <is>
          <t>SÖDERTÄLJE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24034-2022</t>
        </is>
      </c>
      <c r="B177" s="1" t="n">
        <v>44724</v>
      </c>
      <c r="C177" s="1" t="n">
        <v>45794</v>
      </c>
      <c r="D177" t="inlineStr">
        <is>
          <t>STOCKHOLMS LÄN</t>
        </is>
      </c>
      <c r="E177" t="inlineStr">
        <is>
          <t>SÖDERTÄLJE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26812-2022</t>
        </is>
      </c>
      <c r="B178" s="1" t="n">
        <v>44740</v>
      </c>
      <c r="C178" s="1" t="n">
        <v>45794</v>
      </c>
      <c r="D178" t="inlineStr">
        <is>
          <t>STOCKHOLMS LÄN</t>
        </is>
      </c>
      <c r="E178" t="inlineStr">
        <is>
          <t>SÖDERTÄLJE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27970-2022</t>
        </is>
      </c>
      <c r="B179" s="1" t="n">
        <v>44744</v>
      </c>
      <c r="C179" s="1" t="n">
        <v>45794</v>
      </c>
      <c r="D179" t="inlineStr">
        <is>
          <t>STOCKHOLMS LÄN</t>
        </is>
      </c>
      <c r="E179" t="inlineStr">
        <is>
          <t>SÖDERTÄLJE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27969-2022</t>
        </is>
      </c>
      <c r="B180" s="1" t="n">
        <v>44744</v>
      </c>
      <c r="C180" s="1" t="n">
        <v>45794</v>
      </c>
      <c r="D180" t="inlineStr">
        <is>
          <t>STOCKHOLMS LÄN</t>
        </is>
      </c>
      <c r="E180" t="inlineStr">
        <is>
          <t>SÖDERTÄLJE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27971-2022</t>
        </is>
      </c>
      <c r="B181" s="1" t="n">
        <v>44744</v>
      </c>
      <c r="C181" s="1" t="n">
        <v>45794</v>
      </c>
      <c r="D181" t="inlineStr">
        <is>
          <t>STOCKHOLMS LÄN</t>
        </is>
      </c>
      <c r="E181" t="inlineStr">
        <is>
          <t>SÖDERTÄLJE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27972-2022</t>
        </is>
      </c>
      <c r="B182" s="1" t="n">
        <v>44744</v>
      </c>
      <c r="C182" s="1" t="n">
        <v>45794</v>
      </c>
      <c r="D182" t="inlineStr">
        <is>
          <t>STOCKHOLMS LÄN</t>
        </is>
      </c>
      <c r="E182" t="inlineStr">
        <is>
          <t>SÖDERTÄLJE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31428-2022</t>
        </is>
      </c>
      <c r="B183" s="1" t="n">
        <v>44774</v>
      </c>
      <c r="C183" s="1" t="n">
        <v>45794</v>
      </c>
      <c r="D183" t="inlineStr">
        <is>
          <t>STOCKHOLMS LÄN</t>
        </is>
      </c>
      <c r="E183" t="inlineStr">
        <is>
          <t>SÖDERTÄLJE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31429-2022</t>
        </is>
      </c>
      <c r="B184" s="1" t="n">
        <v>44774</v>
      </c>
      <c r="C184" s="1" t="n">
        <v>45794</v>
      </c>
      <c r="D184" t="inlineStr">
        <is>
          <t>STOCKHOLMS LÄN</t>
        </is>
      </c>
      <c r="E184" t="inlineStr">
        <is>
          <t>SÖDERTÄLJE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33892-2022</t>
        </is>
      </c>
      <c r="B185" s="1" t="n">
        <v>44790</v>
      </c>
      <c r="C185" s="1" t="n">
        <v>45794</v>
      </c>
      <c r="D185" t="inlineStr">
        <is>
          <t>STOCKHOLMS LÄN</t>
        </is>
      </c>
      <c r="E185" t="inlineStr">
        <is>
          <t>SÖDERTÄLJE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33902-2022</t>
        </is>
      </c>
      <c r="B186" s="1" t="n">
        <v>44790</v>
      </c>
      <c r="C186" s="1" t="n">
        <v>45794</v>
      </c>
      <c r="D186" t="inlineStr">
        <is>
          <t>STOCKHOLMS LÄN</t>
        </is>
      </c>
      <c r="E186" t="inlineStr">
        <is>
          <t>SÖDERTÄLJE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35906-2022</t>
        </is>
      </c>
      <c r="B187" s="1" t="n">
        <v>44802</v>
      </c>
      <c r="C187" s="1" t="n">
        <v>45794</v>
      </c>
      <c r="D187" t="inlineStr">
        <is>
          <t>STOCKHOLMS LÄN</t>
        </is>
      </c>
      <c r="E187" t="inlineStr">
        <is>
          <t>SÖDERTÄLJE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35918-2022</t>
        </is>
      </c>
      <c r="B188" s="1" t="n">
        <v>44802</v>
      </c>
      <c r="C188" s="1" t="n">
        <v>45794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35882-2022</t>
        </is>
      </c>
      <c r="B189" s="1" t="n">
        <v>44802</v>
      </c>
      <c r="C189" s="1" t="n">
        <v>45794</v>
      </c>
      <c r="D189" t="inlineStr">
        <is>
          <t>STOCKHOLMS LÄN</t>
        </is>
      </c>
      <c r="E189" t="inlineStr">
        <is>
          <t>SÖDERTÄLJE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35942-2022</t>
        </is>
      </c>
      <c r="B190" s="1" t="n">
        <v>44802</v>
      </c>
      <c r="C190" s="1" t="n">
        <v>45794</v>
      </c>
      <c r="D190" t="inlineStr">
        <is>
          <t>STOCKHOLMS LÄN</t>
        </is>
      </c>
      <c r="E190" t="inlineStr">
        <is>
          <t>SÖDERTÄLJE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36112-2022</t>
        </is>
      </c>
      <c r="B191" s="1" t="n">
        <v>44802</v>
      </c>
      <c r="C191" s="1" t="n">
        <v>45794</v>
      </c>
      <c r="D191" t="inlineStr">
        <is>
          <t>STOCKHOLMS LÄN</t>
        </is>
      </c>
      <c r="E191" t="inlineStr">
        <is>
          <t>SÖDERTÄLJE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36113-2022</t>
        </is>
      </c>
      <c r="B192" s="1" t="n">
        <v>44802</v>
      </c>
      <c r="C192" s="1" t="n">
        <v>45794</v>
      </c>
      <c r="D192" t="inlineStr">
        <is>
          <t>STOCKHOLMS LÄN</t>
        </is>
      </c>
      <c r="E192" t="inlineStr">
        <is>
          <t>SÖDERTÄLJE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37843-2022</t>
        </is>
      </c>
      <c r="B193" s="1" t="n">
        <v>44810</v>
      </c>
      <c r="C193" s="1" t="n">
        <v>45794</v>
      </c>
      <c r="D193" t="inlineStr">
        <is>
          <t>STOCKHOLMS LÄN</t>
        </is>
      </c>
      <c r="E193" t="inlineStr">
        <is>
          <t>SÖDERTÄLJE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37844-2022</t>
        </is>
      </c>
      <c r="B194" s="1" t="n">
        <v>44810</v>
      </c>
      <c r="C194" s="1" t="n">
        <v>45794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37842-2022</t>
        </is>
      </c>
      <c r="B195" s="1" t="n">
        <v>44810</v>
      </c>
      <c r="C195" s="1" t="n">
        <v>45794</v>
      </c>
      <c r="D195" t="inlineStr">
        <is>
          <t>STOCKHOLMS LÄN</t>
        </is>
      </c>
      <c r="E195" t="inlineStr">
        <is>
          <t>SÖDERTÄLJE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38079-2022</t>
        </is>
      </c>
      <c r="B196" s="1" t="n">
        <v>44811</v>
      </c>
      <c r="C196" s="1" t="n">
        <v>45794</v>
      </c>
      <c r="D196" t="inlineStr">
        <is>
          <t>STOCKHOLMS LÄN</t>
        </is>
      </c>
      <c r="E196" t="inlineStr">
        <is>
          <t>SÖDERTÄLJE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38250-2022</t>
        </is>
      </c>
      <c r="B197" s="1" t="n">
        <v>44812</v>
      </c>
      <c r="C197" s="1" t="n">
        <v>45794</v>
      </c>
      <c r="D197" t="inlineStr">
        <is>
          <t>STOCKHOLMS LÄN</t>
        </is>
      </c>
      <c r="E197" t="inlineStr">
        <is>
          <t>SÖDERTÄLJE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40801-2022</t>
        </is>
      </c>
      <c r="B198" s="1" t="n">
        <v>44824</v>
      </c>
      <c r="C198" s="1" t="n">
        <v>45794</v>
      </c>
      <c r="D198" t="inlineStr">
        <is>
          <t>STOCKHOLMS LÄN</t>
        </is>
      </c>
      <c r="E198" t="inlineStr">
        <is>
          <t>SÖDERTÄLJE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43752-2022</t>
        </is>
      </c>
      <c r="B199" s="1" t="n">
        <v>44837</v>
      </c>
      <c r="C199" s="1" t="n">
        <v>45794</v>
      </c>
      <c r="D199" t="inlineStr">
        <is>
          <t>STOCKHOLMS LÄN</t>
        </is>
      </c>
      <c r="E199" t="inlineStr">
        <is>
          <t>SÖDERTÄLJE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44950-2022</t>
        </is>
      </c>
      <c r="B200" s="1" t="n">
        <v>44841</v>
      </c>
      <c r="C200" s="1" t="n">
        <v>45794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44960-2022</t>
        </is>
      </c>
      <c r="B201" s="1" t="n">
        <v>44841</v>
      </c>
      <c r="C201" s="1" t="n">
        <v>45794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44962-2022</t>
        </is>
      </c>
      <c r="B202" s="1" t="n">
        <v>44841</v>
      </c>
      <c r="C202" s="1" t="n">
        <v>45794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44964-2022</t>
        </is>
      </c>
      <c r="B203" s="1" t="n">
        <v>44841</v>
      </c>
      <c r="C203" s="1" t="n">
        <v>45794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45145-2022</t>
        </is>
      </c>
      <c r="B204" s="1" t="n">
        <v>44844</v>
      </c>
      <c r="C204" s="1" t="n">
        <v>45794</v>
      </c>
      <c r="D204" t="inlineStr">
        <is>
          <t>STOCKHOLMS LÄN</t>
        </is>
      </c>
      <c r="E204" t="inlineStr">
        <is>
          <t>SÖDERTÄLJE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45152-2022</t>
        </is>
      </c>
      <c r="B205" s="1" t="n">
        <v>44844</v>
      </c>
      <c r="C205" s="1" t="n">
        <v>45794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45184-2022</t>
        </is>
      </c>
      <c r="B206" s="1" t="n">
        <v>44844</v>
      </c>
      <c r="C206" s="1" t="n">
        <v>45794</v>
      </c>
      <c r="D206" t="inlineStr">
        <is>
          <t>STOCKHOLMS LÄN</t>
        </is>
      </c>
      <c r="E206" t="inlineStr">
        <is>
          <t>SÖDERTÄLJE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47977-2022</t>
        </is>
      </c>
      <c r="B207" s="1" t="n">
        <v>44855</v>
      </c>
      <c r="C207" s="1" t="n">
        <v>45794</v>
      </c>
      <c r="D207" t="inlineStr">
        <is>
          <t>STOCKHOLMS LÄN</t>
        </is>
      </c>
      <c r="E207" t="inlineStr">
        <is>
          <t>SÖDERTÄLJE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47943-2022</t>
        </is>
      </c>
      <c r="B208" s="1" t="n">
        <v>44855</v>
      </c>
      <c r="C208" s="1" t="n">
        <v>45794</v>
      </c>
      <c r="D208" t="inlineStr">
        <is>
          <t>STOCKHOLMS LÄN</t>
        </is>
      </c>
      <c r="E208" t="inlineStr">
        <is>
          <t>SÖDERTÄLJE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48813-2022</t>
        </is>
      </c>
      <c r="B209" s="1" t="n">
        <v>44859</v>
      </c>
      <c r="C209" s="1" t="n">
        <v>45794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48812-2022</t>
        </is>
      </c>
      <c r="B210" s="1" t="n">
        <v>44859</v>
      </c>
      <c r="C210" s="1" t="n">
        <v>45794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48820-2022</t>
        </is>
      </c>
      <c r="B211" s="1" t="n">
        <v>44859</v>
      </c>
      <c r="C211" s="1" t="n">
        <v>45794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49956-2022</t>
        </is>
      </c>
      <c r="B212" s="1" t="n">
        <v>44865</v>
      </c>
      <c r="C212" s="1" t="n">
        <v>45794</v>
      </c>
      <c r="D212" t="inlineStr">
        <is>
          <t>STOCKHOLMS LÄN</t>
        </is>
      </c>
      <c r="E212" t="inlineStr">
        <is>
          <t>SÖDERTÄLJE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52101-2022</t>
        </is>
      </c>
      <c r="B213" s="1" t="n">
        <v>44873</v>
      </c>
      <c r="C213" s="1" t="n">
        <v>45794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52541-2022</t>
        </is>
      </c>
      <c r="B214" s="1" t="n">
        <v>44874</v>
      </c>
      <c r="C214" s="1" t="n">
        <v>45794</v>
      </c>
      <c r="D214" t="inlineStr">
        <is>
          <t>STOCKHOLMS LÄN</t>
        </is>
      </c>
      <c r="E214" t="inlineStr">
        <is>
          <t>SÖDERTÄLJE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55973-2022</t>
        </is>
      </c>
      <c r="B215" s="1" t="n">
        <v>44889</v>
      </c>
      <c r="C215" s="1" t="n">
        <v>45794</v>
      </c>
      <c r="D215" t="inlineStr">
        <is>
          <t>STOCKHOLMS LÄN</t>
        </is>
      </c>
      <c r="E215" t="inlineStr">
        <is>
          <t>SÖDERTÄLJE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58418-2022</t>
        </is>
      </c>
      <c r="B216" s="1" t="n">
        <v>44901</v>
      </c>
      <c r="C216" s="1" t="n">
        <v>45794</v>
      </c>
      <c r="D216" t="inlineStr">
        <is>
          <t>STOCKHOLMS LÄN</t>
        </is>
      </c>
      <c r="E216" t="inlineStr">
        <is>
          <t>SÖDERTÄLJE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58928-2022</t>
        </is>
      </c>
      <c r="B217" s="1" t="n">
        <v>44903</v>
      </c>
      <c r="C217" s="1" t="n">
        <v>45794</v>
      </c>
      <c r="D217" t="inlineStr">
        <is>
          <t>STOCKHOLMS LÄN</t>
        </is>
      </c>
      <c r="E217" t="inlineStr">
        <is>
          <t>SÖDERTÄLJE</t>
        </is>
      </c>
      <c r="F217" t="inlineStr">
        <is>
          <t>Kommuner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952-2023</t>
        </is>
      </c>
      <c r="B218" s="1" t="n">
        <v>44934</v>
      </c>
      <c r="C218" s="1" t="n">
        <v>45794</v>
      </c>
      <c r="D218" t="inlineStr">
        <is>
          <t>STOCKHOLMS LÄN</t>
        </is>
      </c>
      <c r="E218" t="inlineStr">
        <is>
          <t>SÖDERTÄLJE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954-2023</t>
        </is>
      </c>
      <c r="B219" s="1" t="n">
        <v>44934</v>
      </c>
      <c r="C219" s="1" t="n">
        <v>45794</v>
      </c>
      <c r="D219" t="inlineStr">
        <is>
          <t>STOCKHOLMS LÄN</t>
        </is>
      </c>
      <c r="E219" t="inlineStr">
        <is>
          <t>SÖDERTÄLJE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953-2023</t>
        </is>
      </c>
      <c r="B220" s="1" t="n">
        <v>44934</v>
      </c>
      <c r="C220" s="1" t="n">
        <v>45794</v>
      </c>
      <c r="D220" t="inlineStr">
        <is>
          <t>STOCKHOLMS LÄN</t>
        </is>
      </c>
      <c r="E220" t="inlineStr">
        <is>
          <t>SÖDERTÄLJE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1381-2023</t>
        </is>
      </c>
      <c r="B221" s="1" t="n">
        <v>44936</v>
      </c>
      <c r="C221" s="1" t="n">
        <v>45794</v>
      </c>
      <c r="D221" t="inlineStr">
        <is>
          <t>STOCKHOLMS LÄN</t>
        </is>
      </c>
      <c r="E221" t="inlineStr">
        <is>
          <t>SÖDERTÄLJE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2529-2023</t>
        </is>
      </c>
      <c r="B222" s="1" t="n">
        <v>44943</v>
      </c>
      <c r="C222" s="1" t="n">
        <v>45794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3639-2023</t>
        </is>
      </c>
      <c r="B223" s="1" t="n">
        <v>44950</v>
      </c>
      <c r="C223" s="1" t="n">
        <v>45794</v>
      </c>
      <c r="D223" t="inlineStr">
        <is>
          <t>STOCKHOLMS LÄN</t>
        </is>
      </c>
      <c r="E223" t="inlineStr">
        <is>
          <t>SÖDERTÄLJE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3834-2023</t>
        </is>
      </c>
      <c r="B224" s="1" t="n">
        <v>44951</v>
      </c>
      <c r="C224" s="1" t="n">
        <v>45794</v>
      </c>
      <c r="D224" t="inlineStr">
        <is>
          <t>STOCKHOLMS LÄN</t>
        </is>
      </c>
      <c r="E224" t="inlineStr">
        <is>
          <t>SÖDERTÄLJE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4443-2023</t>
        </is>
      </c>
      <c r="B225" s="1" t="n">
        <v>44956</v>
      </c>
      <c r="C225" s="1" t="n">
        <v>45794</v>
      </c>
      <c r="D225" t="inlineStr">
        <is>
          <t>STOCKHOLMS LÄN</t>
        </is>
      </c>
      <c r="E225" t="inlineStr">
        <is>
          <t>SÖDERTÄLJE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4440-2023</t>
        </is>
      </c>
      <c r="B226" s="1" t="n">
        <v>44956</v>
      </c>
      <c r="C226" s="1" t="n">
        <v>45794</v>
      </c>
      <c r="D226" t="inlineStr">
        <is>
          <t>STOCKHOLMS LÄN</t>
        </is>
      </c>
      <c r="E226" t="inlineStr">
        <is>
          <t>SÖDERTÄLJE</t>
        </is>
      </c>
      <c r="G226" t="n">
        <v>18.4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6052-2023</t>
        </is>
      </c>
      <c r="B227" s="1" t="n">
        <v>44964</v>
      </c>
      <c r="C227" s="1" t="n">
        <v>45794</v>
      </c>
      <c r="D227" t="inlineStr">
        <is>
          <t>STOCKHOLMS LÄN</t>
        </is>
      </c>
      <c r="E227" t="inlineStr">
        <is>
          <t>SÖDERTÄLJE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6032-2023</t>
        </is>
      </c>
      <c r="B228" s="1" t="n">
        <v>44964</v>
      </c>
      <c r="C228" s="1" t="n">
        <v>45794</v>
      </c>
      <c r="D228" t="inlineStr">
        <is>
          <t>STOCKHOLMS LÄN</t>
        </is>
      </c>
      <c r="E228" t="inlineStr">
        <is>
          <t>SÖDERTÄLJE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6041-2023</t>
        </is>
      </c>
      <c r="B229" s="1" t="n">
        <v>44964</v>
      </c>
      <c r="C229" s="1" t="n">
        <v>45794</v>
      </c>
      <c r="D229" t="inlineStr">
        <is>
          <t>STOCKHOLMS LÄN</t>
        </is>
      </c>
      <c r="E229" t="inlineStr">
        <is>
          <t>SÖDERTÄLJE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7841-2023</t>
        </is>
      </c>
      <c r="B230" s="1" t="n">
        <v>44973</v>
      </c>
      <c r="C230" s="1" t="n">
        <v>45794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7823-2023</t>
        </is>
      </c>
      <c r="B231" s="1" t="n">
        <v>44973</v>
      </c>
      <c r="C231" s="1" t="n">
        <v>45794</v>
      </c>
      <c r="D231" t="inlineStr">
        <is>
          <t>STOCKHOLMS LÄN</t>
        </is>
      </c>
      <c r="E231" t="inlineStr">
        <is>
          <t>SÖDERTÄLJE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8611-2023</t>
        </is>
      </c>
      <c r="B232" s="1" t="n">
        <v>44977</v>
      </c>
      <c r="C232" s="1" t="n">
        <v>45794</v>
      </c>
      <c r="D232" t="inlineStr">
        <is>
          <t>STOCKHOLMS LÄN</t>
        </is>
      </c>
      <c r="E232" t="inlineStr">
        <is>
          <t>SÖDERTÄLJE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13202-2023</t>
        </is>
      </c>
      <c r="B233" s="1" t="n">
        <v>45002</v>
      </c>
      <c r="C233" s="1" t="n">
        <v>45794</v>
      </c>
      <c r="D233" t="inlineStr">
        <is>
          <t>STOCKHOLMS LÄN</t>
        </is>
      </c>
      <c r="E233" t="inlineStr">
        <is>
          <t>SÖDERTÄLJE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16413-2023</t>
        </is>
      </c>
      <c r="B234" s="1" t="n">
        <v>45029</v>
      </c>
      <c r="C234" s="1" t="n">
        <v>45794</v>
      </c>
      <c r="D234" t="inlineStr">
        <is>
          <t>STOCKHOLMS LÄN</t>
        </is>
      </c>
      <c r="E234" t="inlineStr">
        <is>
          <t>SÖDERTÄLJE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16658-2023</t>
        </is>
      </c>
      <c r="B235" s="1" t="n">
        <v>45030</v>
      </c>
      <c r="C235" s="1" t="n">
        <v>45794</v>
      </c>
      <c r="D235" t="inlineStr">
        <is>
          <t>STOCKHOLMS LÄN</t>
        </is>
      </c>
      <c r="E235" t="inlineStr">
        <is>
          <t>SÖDERTÄLJE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18592-2023</t>
        </is>
      </c>
      <c r="B236" s="1" t="n">
        <v>45043</v>
      </c>
      <c r="C236" s="1" t="n">
        <v>45794</v>
      </c>
      <c r="D236" t="inlineStr">
        <is>
          <t>STOCKHOLMS LÄN</t>
        </is>
      </c>
      <c r="E236" t="inlineStr">
        <is>
          <t>SÖDERTÄLJE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21654-2023</t>
        </is>
      </c>
      <c r="B237" s="1" t="n">
        <v>45063</v>
      </c>
      <c r="C237" s="1" t="n">
        <v>45794</v>
      </c>
      <c r="D237" t="inlineStr">
        <is>
          <t>STOCKHOLMS LÄN</t>
        </is>
      </c>
      <c r="E237" t="inlineStr">
        <is>
          <t>SÖDERTÄLJE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23090-2023</t>
        </is>
      </c>
      <c r="B238" s="1" t="n">
        <v>45075</v>
      </c>
      <c r="C238" s="1" t="n">
        <v>45794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23092-2023</t>
        </is>
      </c>
      <c r="B239" s="1" t="n">
        <v>45075</v>
      </c>
      <c r="C239" s="1" t="n">
        <v>45794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23093-2023</t>
        </is>
      </c>
      <c r="B240" s="1" t="n">
        <v>45075</v>
      </c>
      <c r="C240" s="1" t="n">
        <v>45794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24735-2023</t>
        </is>
      </c>
      <c r="B241" s="1" t="n">
        <v>45078</v>
      </c>
      <c r="C241" s="1" t="n">
        <v>45794</v>
      </c>
      <c r="D241" t="inlineStr">
        <is>
          <t>STOCKHOLMS LÄN</t>
        </is>
      </c>
      <c r="E241" t="inlineStr">
        <is>
          <t>SÖDERTÄLJE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25549-2023</t>
        </is>
      </c>
      <c r="B242" s="1" t="n">
        <v>45082</v>
      </c>
      <c r="C242" s="1" t="n">
        <v>45794</v>
      </c>
      <c r="D242" t="inlineStr">
        <is>
          <t>STOCKHOLMS LÄN</t>
        </is>
      </c>
      <c r="E242" t="inlineStr">
        <is>
          <t>SÖDERTÄLJE</t>
        </is>
      </c>
      <c r="G242" t="n">
        <v>12.2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25706-2023</t>
        </is>
      </c>
      <c r="B243" s="1" t="n">
        <v>45090</v>
      </c>
      <c r="C243" s="1" t="n">
        <v>45794</v>
      </c>
      <c r="D243" t="inlineStr">
        <is>
          <t>STOCKHOLMS LÄN</t>
        </is>
      </c>
      <c r="E243" t="inlineStr">
        <is>
          <t>SÖDERTÄLJE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27183-2023</t>
        </is>
      </c>
      <c r="B244" s="1" t="n">
        <v>45096</v>
      </c>
      <c r="C244" s="1" t="n">
        <v>45794</v>
      </c>
      <c r="D244" t="inlineStr">
        <is>
          <t>STOCKHOLMS LÄN</t>
        </is>
      </c>
      <c r="E244" t="inlineStr">
        <is>
          <t>SÖDERTÄLJE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28290-2023</t>
        </is>
      </c>
      <c r="B245" s="1" t="n">
        <v>45099</v>
      </c>
      <c r="C245" s="1" t="n">
        <v>45794</v>
      </c>
      <c r="D245" t="inlineStr">
        <is>
          <t>STOCKHOLMS LÄN</t>
        </is>
      </c>
      <c r="E245" t="inlineStr">
        <is>
          <t>SÖDERTÄLJE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28502-2023</t>
        </is>
      </c>
      <c r="B246" s="1" t="n">
        <v>45103</v>
      </c>
      <c r="C246" s="1" t="n">
        <v>45794</v>
      </c>
      <c r="D246" t="inlineStr">
        <is>
          <t>STOCKHOLMS LÄN</t>
        </is>
      </c>
      <c r="E246" t="inlineStr">
        <is>
          <t>SÖDERTÄLJE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28635-2023</t>
        </is>
      </c>
      <c r="B247" s="1" t="n">
        <v>45103</v>
      </c>
      <c r="C247" s="1" t="n">
        <v>45794</v>
      </c>
      <c r="D247" t="inlineStr">
        <is>
          <t>STOCKHOLMS LÄN</t>
        </is>
      </c>
      <c r="E247" t="inlineStr">
        <is>
          <t>SÖDERTÄLJE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28695-2023</t>
        </is>
      </c>
      <c r="B248" s="1" t="n">
        <v>45103</v>
      </c>
      <c r="C248" s="1" t="n">
        <v>45794</v>
      </c>
      <c r="D248" t="inlineStr">
        <is>
          <t>STOCKHOLMS LÄN</t>
        </is>
      </c>
      <c r="E248" t="inlineStr">
        <is>
          <t>SÖDERTÄLJE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28609-2023</t>
        </is>
      </c>
      <c r="B249" s="1" t="n">
        <v>45103</v>
      </c>
      <c r="C249" s="1" t="n">
        <v>45794</v>
      </c>
      <c r="D249" t="inlineStr">
        <is>
          <t>STOCKHOLMS LÄN</t>
        </is>
      </c>
      <c r="E249" t="inlineStr">
        <is>
          <t>SÖDERTÄLJE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28683-2023</t>
        </is>
      </c>
      <c r="B250" s="1" t="n">
        <v>45103</v>
      </c>
      <c r="C250" s="1" t="n">
        <v>45794</v>
      </c>
      <c r="D250" t="inlineStr">
        <is>
          <t>STOCKHOLMS LÄN</t>
        </is>
      </c>
      <c r="E250" t="inlineStr">
        <is>
          <t>SÖDERTÄLJE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28700-2023</t>
        </is>
      </c>
      <c r="B251" s="1" t="n">
        <v>45103</v>
      </c>
      <c r="C251" s="1" t="n">
        <v>45794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28516-2023</t>
        </is>
      </c>
      <c r="B252" s="1" t="n">
        <v>45103</v>
      </c>
      <c r="C252" s="1" t="n">
        <v>45794</v>
      </c>
      <c r="D252" t="inlineStr">
        <is>
          <t>STOCKHOLMS LÄN</t>
        </is>
      </c>
      <c r="E252" t="inlineStr">
        <is>
          <t>SÖDERTÄLJE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28554-2023</t>
        </is>
      </c>
      <c r="B253" s="1" t="n">
        <v>45103</v>
      </c>
      <c r="C253" s="1" t="n">
        <v>45794</v>
      </c>
      <c r="D253" t="inlineStr">
        <is>
          <t>STOCKHOLMS LÄN</t>
        </is>
      </c>
      <c r="E253" t="inlineStr">
        <is>
          <t>SÖDERTÄLJE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28566-2023</t>
        </is>
      </c>
      <c r="B254" s="1" t="n">
        <v>45103</v>
      </c>
      <c r="C254" s="1" t="n">
        <v>45794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28698-2023</t>
        </is>
      </c>
      <c r="B255" s="1" t="n">
        <v>45103</v>
      </c>
      <c r="C255" s="1" t="n">
        <v>45794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28981-2023</t>
        </is>
      </c>
      <c r="B256" s="1" t="n">
        <v>45104</v>
      </c>
      <c r="C256" s="1" t="n">
        <v>45794</v>
      </c>
      <c r="D256" t="inlineStr">
        <is>
          <t>STOCKHOLMS LÄN</t>
        </is>
      </c>
      <c r="E256" t="inlineStr">
        <is>
          <t>SÖDERTÄLJE</t>
        </is>
      </c>
      <c r="G256" t="n">
        <v>12.2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28958-2023</t>
        </is>
      </c>
      <c r="B257" s="1" t="n">
        <v>45104</v>
      </c>
      <c r="C257" s="1" t="n">
        <v>45794</v>
      </c>
      <c r="D257" t="inlineStr">
        <is>
          <t>STOCKHOLMS LÄN</t>
        </is>
      </c>
      <c r="E257" t="inlineStr">
        <is>
          <t>SÖDERTÄLJE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30145-2023</t>
        </is>
      </c>
      <c r="B258" s="1" t="n">
        <v>45110</v>
      </c>
      <c r="C258" s="1" t="n">
        <v>45794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31743-2023</t>
        </is>
      </c>
      <c r="B259" s="1" t="n">
        <v>45117</v>
      </c>
      <c r="C259" s="1" t="n">
        <v>45794</v>
      </c>
      <c r="D259" t="inlineStr">
        <is>
          <t>STOCKHOLMS LÄN</t>
        </is>
      </c>
      <c r="E259" t="inlineStr">
        <is>
          <t>SÖDERTÄLJE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32040-2023</t>
        </is>
      </c>
      <c r="B260" s="1" t="n">
        <v>45119</v>
      </c>
      <c r="C260" s="1" t="n">
        <v>45794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32044-2023</t>
        </is>
      </c>
      <c r="B261" s="1" t="n">
        <v>45119</v>
      </c>
      <c r="C261" s="1" t="n">
        <v>45794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32047-2023</t>
        </is>
      </c>
      <c r="B262" s="1" t="n">
        <v>45119</v>
      </c>
      <c r="C262" s="1" t="n">
        <v>45794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35113-2023</t>
        </is>
      </c>
      <c r="B263" s="1" t="n">
        <v>45145</v>
      </c>
      <c r="C263" s="1" t="n">
        <v>45794</v>
      </c>
      <c r="D263" t="inlineStr">
        <is>
          <t>STOCKHOLMS LÄN</t>
        </is>
      </c>
      <c r="E263" t="inlineStr">
        <is>
          <t>SÖDERTÄLJE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35145-2023</t>
        </is>
      </c>
      <c r="B264" s="1" t="n">
        <v>45145</v>
      </c>
      <c r="C264" s="1" t="n">
        <v>45794</v>
      </c>
      <c r="D264" t="inlineStr">
        <is>
          <t>STOCKHOLMS LÄN</t>
        </is>
      </c>
      <c r="E264" t="inlineStr">
        <is>
          <t>SÖDERTÄLJE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35200-2023</t>
        </is>
      </c>
      <c r="B265" s="1" t="n">
        <v>45145</v>
      </c>
      <c r="C265" s="1" t="n">
        <v>45794</v>
      </c>
      <c r="D265" t="inlineStr">
        <is>
          <t>STOCKHOLMS LÄN</t>
        </is>
      </c>
      <c r="E265" t="inlineStr">
        <is>
          <t>SÖDERTÄLJE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35418-2023</t>
        </is>
      </c>
      <c r="B266" s="1" t="n">
        <v>45146</v>
      </c>
      <c r="C266" s="1" t="n">
        <v>45794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Kommuner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36886-2023</t>
        </is>
      </c>
      <c r="B267" s="1" t="n">
        <v>45154</v>
      </c>
      <c r="C267" s="1" t="n">
        <v>45794</v>
      </c>
      <c r="D267" t="inlineStr">
        <is>
          <t>STOCKHOLMS LÄN</t>
        </is>
      </c>
      <c r="E267" t="inlineStr">
        <is>
          <t>SÖDERTÄLJE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37118-2023</t>
        </is>
      </c>
      <c r="B268" s="1" t="n">
        <v>45155</v>
      </c>
      <c r="C268" s="1" t="n">
        <v>45794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39295-2023</t>
        </is>
      </c>
      <c r="B269" s="1" t="n">
        <v>45166</v>
      </c>
      <c r="C269" s="1" t="n">
        <v>45794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39296-2023</t>
        </is>
      </c>
      <c r="B270" s="1" t="n">
        <v>45166</v>
      </c>
      <c r="C270" s="1" t="n">
        <v>45794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40603-2023</t>
        </is>
      </c>
      <c r="B271" s="1" t="n">
        <v>45170</v>
      </c>
      <c r="C271" s="1" t="n">
        <v>45794</v>
      </c>
      <c r="D271" t="inlineStr">
        <is>
          <t>STOCKHOLMS LÄN</t>
        </is>
      </c>
      <c r="E271" t="inlineStr">
        <is>
          <t>SÖDERTÄLJE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41111-2023</t>
        </is>
      </c>
      <c r="B272" s="1" t="n">
        <v>45173</v>
      </c>
      <c r="C272" s="1" t="n">
        <v>45794</v>
      </c>
      <c r="D272" t="inlineStr">
        <is>
          <t>STOCKHOLMS LÄN</t>
        </is>
      </c>
      <c r="E272" t="inlineStr">
        <is>
          <t>SÖDERTÄLJE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41115-2023</t>
        </is>
      </c>
      <c r="B273" s="1" t="n">
        <v>45173</v>
      </c>
      <c r="C273" s="1" t="n">
        <v>45794</v>
      </c>
      <c r="D273" t="inlineStr">
        <is>
          <t>STOCKHOLMS LÄN</t>
        </is>
      </c>
      <c r="E273" t="inlineStr">
        <is>
          <t>SÖDERTÄLJE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41113-2023</t>
        </is>
      </c>
      <c r="B274" s="1" t="n">
        <v>45173</v>
      </c>
      <c r="C274" s="1" t="n">
        <v>45794</v>
      </c>
      <c r="D274" t="inlineStr">
        <is>
          <t>STOCKHOLMS LÄN</t>
        </is>
      </c>
      <c r="E274" t="inlineStr">
        <is>
          <t>SÖDERTÄLJE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41116-2023</t>
        </is>
      </c>
      <c r="B275" s="1" t="n">
        <v>45173</v>
      </c>
      <c r="C275" s="1" t="n">
        <v>45794</v>
      </c>
      <c r="D275" t="inlineStr">
        <is>
          <t>STOCKHOLMS LÄN</t>
        </is>
      </c>
      <c r="E275" t="inlineStr">
        <is>
          <t>SÖDERTÄLJE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41141-2023</t>
        </is>
      </c>
      <c r="B276" s="1" t="n">
        <v>45173</v>
      </c>
      <c r="C276" s="1" t="n">
        <v>45794</v>
      </c>
      <c r="D276" t="inlineStr">
        <is>
          <t>STOCKHOLMS LÄN</t>
        </is>
      </c>
      <c r="E276" t="inlineStr">
        <is>
          <t>SÖDERTÄLJE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42133-2023</t>
        </is>
      </c>
      <c r="B277" s="1" t="n">
        <v>45177</v>
      </c>
      <c r="C277" s="1" t="n">
        <v>45794</v>
      </c>
      <c r="D277" t="inlineStr">
        <is>
          <t>STOCKHOLMS LÄN</t>
        </is>
      </c>
      <c r="E277" t="inlineStr">
        <is>
          <t>SÖDERTÄLJE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47576-2023</t>
        </is>
      </c>
      <c r="B278" s="1" t="n">
        <v>45197</v>
      </c>
      <c r="C278" s="1" t="n">
        <v>45794</v>
      </c>
      <c r="D278" t="inlineStr">
        <is>
          <t>STOCKHOLMS LÄN</t>
        </is>
      </c>
      <c r="E278" t="inlineStr">
        <is>
          <t>SÖDERTÄLJE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47714-2023</t>
        </is>
      </c>
      <c r="B279" s="1" t="n">
        <v>45198</v>
      </c>
      <c r="C279" s="1" t="n">
        <v>45794</v>
      </c>
      <c r="D279" t="inlineStr">
        <is>
          <t>STOCKHOLMS LÄN</t>
        </is>
      </c>
      <c r="E279" t="inlineStr">
        <is>
          <t>SÖDERTÄLJE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49395-2023</t>
        </is>
      </c>
      <c r="B280" s="1" t="n">
        <v>45211</v>
      </c>
      <c r="C280" s="1" t="n">
        <v>45794</v>
      </c>
      <c r="D280" t="inlineStr">
        <is>
          <t>STOCKHOLMS LÄN</t>
        </is>
      </c>
      <c r="E280" t="inlineStr">
        <is>
          <t>SÖDERTÄLJE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51931-2023</t>
        </is>
      </c>
      <c r="B281" s="1" t="n">
        <v>45216</v>
      </c>
      <c r="C281" s="1" t="n">
        <v>45794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51087-2023</t>
        </is>
      </c>
      <c r="B282" s="1" t="n">
        <v>45218</v>
      </c>
      <c r="C282" s="1" t="n">
        <v>45794</v>
      </c>
      <c r="D282" t="inlineStr">
        <is>
          <t>STOCKHOLMS LÄN</t>
        </is>
      </c>
      <c r="E282" t="inlineStr">
        <is>
          <t>SÖDERTÄLJE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51674-2023</t>
        </is>
      </c>
      <c r="B283" s="1" t="n">
        <v>45222</v>
      </c>
      <c r="C283" s="1" t="n">
        <v>45794</v>
      </c>
      <c r="D283" t="inlineStr">
        <is>
          <t>STOCKHOLMS LÄN</t>
        </is>
      </c>
      <c r="E283" t="inlineStr">
        <is>
          <t>SÖDERTÄLJE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52815-2023</t>
        </is>
      </c>
      <c r="B284" s="1" t="n">
        <v>45226</v>
      </c>
      <c r="C284" s="1" t="n">
        <v>45794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52814-2023</t>
        </is>
      </c>
      <c r="B285" s="1" t="n">
        <v>45226</v>
      </c>
      <c r="C285" s="1" t="n">
        <v>45794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53232-2023</t>
        </is>
      </c>
      <c r="B286" s="1" t="n">
        <v>45229</v>
      </c>
      <c r="C286" s="1" t="n">
        <v>45794</v>
      </c>
      <c r="D286" t="inlineStr">
        <is>
          <t>STOCKHOLMS LÄN</t>
        </is>
      </c>
      <c r="E286" t="inlineStr">
        <is>
          <t>SÖDERTÄLJE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55940-2023</t>
        </is>
      </c>
      <c r="B287" s="1" t="n">
        <v>45240</v>
      </c>
      <c r="C287" s="1" t="n">
        <v>45794</v>
      </c>
      <c r="D287" t="inlineStr">
        <is>
          <t>STOCKHOLMS LÄN</t>
        </is>
      </c>
      <c r="E287" t="inlineStr">
        <is>
          <t>SÖDERTÄLJE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55941-2023</t>
        </is>
      </c>
      <c r="B288" s="1" t="n">
        <v>45240</v>
      </c>
      <c r="C288" s="1" t="n">
        <v>45794</v>
      </c>
      <c r="D288" t="inlineStr">
        <is>
          <t>STOCKHOLMS LÄN</t>
        </is>
      </c>
      <c r="E288" t="inlineStr">
        <is>
          <t>SÖDERTÄLJE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56358-2023</t>
        </is>
      </c>
      <c r="B289" s="1" t="n">
        <v>45243</v>
      </c>
      <c r="C289" s="1" t="n">
        <v>45794</v>
      </c>
      <c r="D289" t="inlineStr">
        <is>
          <t>STOCKHOLMS LÄN</t>
        </is>
      </c>
      <c r="E289" t="inlineStr">
        <is>
          <t>SÖDERTÄLJE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56344-2023</t>
        </is>
      </c>
      <c r="B290" s="1" t="n">
        <v>45243</v>
      </c>
      <c r="C290" s="1" t="n">
        <v>45794</v>
      </c>
      <c r="D290" t="inlineStr">
        <is>
          <t>STOCKHOLMS LÄN</t>
        </is>
      </c>
      <c r="E290" t="inlineStr">
        <is>
          <t>SÖDERTÄLJE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56349-2023</t>
        </is>
      </c>
      <c r="B291" s="1" t="n">
        <v>45243</v>
      </c>
      <c r="C291" s="1" t="n">
        <v>45794</v>
      </c>
      <c r="D291" t="inlineStr">
        <is>
          <t>STOCKHOLMS LÄN</t>
        </is>
      </c>
      <c r="E291" t="inlineStr">
        <is>
          <t>SÖDERTÄLJE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56354-2023</t>
        </is>
      </c>
      <c r="B292" s="1" t="n">
        <v>45243</v>
      </c>
      <c r="C292" s="1" t="n">
        <v>45794</v>
      </c>
      <c r="D292" t="inlineStr">
        <is>
          <t>STOCKHOLMS LÄN</t>
        </is>
      </c>
      <c r="E292" t="inlineStr">
        <is>
          <t>SÖDERTÄLJE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56596-2023</t>
        </is>
      </c>
      <c r="B293" s="1" t="n">
        <v>45243</v>
      </c>
      <c r="C293" s="1" t="n">
        <v>45794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56373-2023</t>
        </is>
      </c>
      <c r="B294" s="1" t="n">
        <v>45243</v>
      </c>
      <c r="C294" s="1" t="n">
        <v>45794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56762-2023</t>
        </is>
      </c>
      <c r="B295" s="1" t="n">
        <v>45244</v>
      </c>
      <c r="C295" s="1" t="n">
        <v>45794</v>
      </c>
      <c r="D295" t="inlineStr">
        <is>
          <t>STOCKHOLMS LÄN</t>
        </is>
      </c>
      <c r="E295" t="inlineStr">
        <is>
          <t>SÖDERTÄLJE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57512-2023</t>
        </is>
      </c>
      <c r="B296" s="1" t="n">
        <v>45246</v>
      </c>
      <c r="C296" s="1" t="n">
        <v>45794</v>
      </c>
      <c r="D296" t="inlineStr">
        <is>
          <t>STOCKHOLMS LÄN</t>
        </is>
      </c>
      <c r="E296" t="inlineStr">
        <is>
          <t>SÖDERTÄLJE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58140-2023</t>
        </is>
      </c>
      <c r="B297" s="1" t="n">
        <v>45250</v>
      </c>
      <c r="C297" s="1" t="n">
        <v>45794</v>
      </c>
      <c r="D297" t="inlineStr">
        <is>
          <t>STOCKHOLMS LÄN</t>
        </is>
      </c>
      <c r="E297" t="inlineStr">
        <is>
          <t>SÖDERTÄLJE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62311-2023</t>
        </is>
      </c>
      <c r="B298" s="1" t="n">
        <v>45266</v>
      </c>
      <c r="C298" s="1" t="n">
        <v>45794</v>
      </c>
      <c r="D298" t="inlineStr">
        <is>
          <t>STOCKHOLMS LÄN</t>
        </is>
      </c>
      <c r="E298" t="inlineStr">
        <is>
          <t>SÖDERTÄLJE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62320-2023</t>
        </is>
      </c>
      <c r="B299" s="1" t="n">
        <v>45267</v>
      </c>
      <c r="C299" s="1" t="n">
        <v>45794</v>
      </c>
      <c r="D299" t="inlineStr">
        <is>
          <t>STOCKHOLMS LÄN</t>
        </is>
      </c>
      <c r="E299" t="inlineStr">
        <is>
          <t>SÖDERTÄLJE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22-2024</t>
        </is>
      </c>
      <c r="B300" s="1" t="n">
        <v>45293</v>
      </c>
      <c r="C300" s="1" t="n">
        <v>45794</v>
      </c>
      <c r="D300" t="inlineStr">
        <is>
          <t>STOCKHOLMS LÄN</t>
        </is>
      </c>
      <c r="E300" t="inlineStr">
        <is>
          <t>SÖDERTÄLJE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45794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95-2024</t>
        </is>
      </c>
      <c r="B302" s="1" t="n">
        <v>45293</v>
      </c>
      <c r="C302" s="1" t="n">
        <v>45794</v>
      </c>
      <c r="D302" t="inlineStr">
        <is>
          <t>STOCKHOLMS LÄN</t>
        </is>
      </c>
      <c r="E302" t="inlineStr">
        <is>
          <t>SÖDERTÄLJE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92-2024</t>
        </is>
      </c>
      <c r="B303" s="1" t="n">
        <v>45293</v>
      </c>
      <c r="C303" s="1" t="n">
        <v>45794</v>
      </c>
      <c r="D303" t="inlineStr">
        <is>
          <t>STOCKHOLMS LÄN</t>
        </is>
      </c>
      <c r="E303" t="inlineStr">
        <is>
          <t>SÖDERTÄLJE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487-2024</t>
        </is>
      </c>
      <c r="B304" s="1" t="n">
        <v>45298</v>
      </c>
      <c r="C304" s="1" t="n">
        <v>45794</v>
      </c>
      <c r="D304" t="inlineStr">
        <is>
          <t>STOCKHOLMS LÄN</t>
        </is>
      </c>
      <c r="E304" t="inlineStr">
        <is>
          <t>SÖDERTÄLJE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1955-2024</t>
        </is>
      </c>
      <c r="B305" s="1" t="n">
        <v>45308</v>
      </c>
      <c r="C305" s="1" t="n">
        <v>45794</v>
      </c>
      <c r="D305" t="inlineStr">
        <is>
          <t>STOCKHOLMS LÄN</t>
        </is>
      </c>
      <c r="E305" t="inlineStr">
        <is>
          <t>SÖDERTÄLJE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2014-2024</t>
        </is>
      </c>
      <c r="B306" s="1" t="n">
        <v>45308</v>
      </c>
      <c r="C306" s="1" t="n">
        <v>45794</v>
      </c>
      <c r="D306" t="inlineStr">
        <is>
          <t>STOCKHOLMS LÄN</t>
        </is>
      </c>
      <c r="E306" t="inlineStr">
        <is>
          <t>SÖDERTÄLJE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2131-2024</t>
        </is>
      </c>
      <c r="B307" s="1" t="n">
        <v>45309</v>
      </c>
      <c r="C307" s="1" t="n">
        <v>45794</v>
      </c>
      <c r="D307" t="inlineStr">
        <is>
          <t>STOCKHOLMS LÄN</t>
        </is>
      </c>
      <c r="E307" t="inlineStr">
        <is>
          <t>SÖDERTÄLJE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3108-2024</t>
        </is>
      </c>
      <c r="B308" s="1" t="n">
        <v>45316</v>
      </c>
      <c r="C308" s="1" t="n">
        <v>45794</v>
      </c>
      <c r="D308" t="inlineStr">
        <is>
          <t>STOCKHOLMS LÄN</t>
        </is>
      </c>
      <c r="E308" t="inlineStr">
        <is>
          <t>SÖDERTÄLJE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3383-2024</t>
        </is>
      </c>
      <c r="B309" s="1" t="n">
        <v>45317</v>
      </c>
      <c r="C309" s="1" t="n">
        <v>45794</v>
      </c>
      <c r="D309" t="inlineStr">
        <is>
          <t>STOCKHOLMS LÄN</t>
        </is>
      </c>
      <c r="E309" t="inlineStr">
        <is>
          <t>SÖDERTÄLJE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3382-2024</t>
        </is>
      </c>
      <c r="B310" s="1" t="n">
        <v>45317</v>
      </c>
      <c r="C310" s="1" t="n">
        <v>45794</v>
      </c>
      <c r="D310" t="inlineStr">
        <is>
          <t>STOCKHOLMS LÄN</t>
        </is>
      </c>
      <c r="E310" t="inlineStr">
        <is>
          <t>SÖDERTÄLJE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3384-2024</t>
        </is>
      </c>
      <c r="B311" s="1" t="n">
        <v>45317</v>
      </c>
      <c r="C311" s="1" t="n">
        <v>45794</v>
      </c>
      <c r="D311" t="inlineStr">
        <is>
          <t>STOCKHOLMS LÄN</t>
        </is>
      </c>
      <c r="E311" t="inlineStr">
        <is>
          <t>SÖDERTÄLJE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9169-2024</t>
        </is>
      </c>
      <c r="B312" s="1" t="n">
        <v>45358</v>
      </c>
      <c r="C312" s="1" t="n">
        <v>45794</v>
      </c>
      <c r="D312" t="inlineStr">
        <is>
          <t>STOCKHOLMS LÄN</t>
        </is>
      </c>
      <c r="E312" t="inlineStr">
        <is>
          <t>SÖDERTÄLJE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11319-2024</t>
        </is>
      </c>
      <c r="B313" s="1" t="n">
        <v>45371</v>
      </c>
      <c r="C313" s="1" t="n">
        <v>45794</v>
      </c>
      <c r="D313" t="inlineStr">
        <is>
          <t>STOCKHOLMS LÄN</t>
        </is>
      </c>
      <c r="E313" t="inlineStr">
        <is>
          <t>SÖDERTÄLJE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12624-2024</t>
        </is>
      </c>
      <c r="B314" s="1" t="n">
        <v>45383</v>
      </c>
      <c r="C314" s="1" t="n">
        <v>45794</v>
      </c>
      <c r="D314" t="inlineStr">
        <is>
          <t>STOCKHOLMS LÄN</t>
        </is>
      </c>
      <c r="E314" t="inlineStr">
        <is>
          <t>SÖDERTÄLJE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12627-2024</t>
        </is>
      </c>
      <c r="B315" s="1" t="n">
        <v>45383</v>
      </c>
      <c r="C315" s="1" t="n">
        <v>45794</v>
      </c>
      <c r="D315" t="inlineStr">
        <is>
          <t>STOCKHOLMS LÄN</t>
        </is>
      </c>
      <c r="E315" t="inlineStr">
        <is>
          <t>SÖDERTÄLJE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12907-2024</t>
        </is>
      </c>
      <c r="B316" s="1" t="n">
        <v>45385</v>
      </c>
      <c r="C316" s="1" t="n">
        <v>45794</v>
      </c>
      <c r="D316" t="inlineStr">
        <is>
          <t>STOCKHOLMS LÄN</t>
        </is>
      </c>
      <c r="E316" t="inlineStr">
        <is>
          <t>SÖDERTÄLJE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13329-2024</t>
        </is>
      </c>
      <c r="B317" s="1" t="n">
        <v>45386</v>
      </c>
      <c r="C317" s="1" t="n">
        <v>45794</v>
      </c>
      <c r="D317" t="inlineStr">
        <is>
          <t>STOCKHOLMS LÄN</t>
        </is>
      </c>
      <c r="E317" t="inlineStr">
        <is>
          <t>SÖDERTÄLJE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13327-2024</t>
        </is>
      </c>
      <c r="B318" s="1" t="n">
        <v>45386</v>
      </c>
      <c r="C318" s="1" t="n">
        <v>45794</v>
      </c>
      <c r="D318" t="inlineStr">
        <is>
          <t>STOCKHOLMS LÄN</t>
        </is>
      </c>
      <c r="E318" t="inlineStr">
        <is>
          <t>SÖDERTÄLJE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13649-2024</t>
        </is>
      </c>
      <c r="B319" s="1" t="n">
        <v>45390</v>
      </c>
      <c r="C319" s="1" t="n">
        <v>45794</v>
      </c>
      <c r="D319" t="inlineStr">
        <is>
          <t>STOCKHOLMS LÄN</t>
        </is>
      </c>
      <c r="E319" t="inlineStr">
        <is>
          <t>SÖDERTÄLJE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14060-2024</t>
        </is>
      </c>
      <c r="B320" s="1" t="n">
        <v>45392</v>
      </c>
      <c r="C320" s="1" t="n">
        <v>45794</v>
      </c>
      <c r="D320" t="inlineStr">
        <is>
          <t>STOCKHOLMS LÄN</t>
        </is>
      </c>
      <c r="E320" t="inlineStr">
        <is>
          <t>SÖDERTÄLJE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14049-2024</t>
        </is>
      </c>
      <c r="B321" s="1" t="n">
        <v>45392</v>
      </c>
      <c r="C321" s="1" t="n">
        <v>45794</v>
      </c>
      <c r="D321" t="inlineStr">
        <is>
          <t>STOCKHOLMS LÄN</t>
        </is>
      </c>
      <c r="E321" t="inlineStr">
        <is>
          <t>SÖDERTÄLJE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14107-2024</t>
        </is>
      </c>
      <c r="B322" s="1" t="n">
        <v>45392</v>
      </c>
      <c r="C322" s="1" t="n">
        <v>45794</v>
      </c>
      <c r="D322" t="inlineStr">
        <is>
          <t>STOCKHOLMS LÄN</t>
        </is>
      </c>
      <c r="E322" t="inlineStr">
        <is>
          <t>SÖDERTÄLJE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14101-2024</t>
        </is>
      </c>
      <c r="B323" s="1" t="n">
        <v>45392</v>
      </c>
      <c r="C323" s="1" t="n">
        <v>45794</v>
      </c>
      <c r="D323" t="inlineStr">
        <is>
          <t>STOCKHOLMS LÄN</t>
        </is>
      </c>
      <c r="E323" t="inlineStr">
        <is>
          <t>SÖDERTÄLJE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16615-2024</t>
        </is>
      </c>
      <c r="B324" s="1" t="n">
        <v>45408</v>
      </c>
      <c r="C324" s="1" t="n">
        <v>45794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16996-2024</t>
        </is>
      </c>
      <c r="B325" s="1" t="n">
        <v>45412</v>
      </c>
      <c r="C325" s="1" t="n">
        <v>45794</v>
      </c>
      <c r="D325" t="inlineStr">
        <is>
          <t>STOCKHOLMS LÄN</t>
        </is>
      </c>
      <c r="E325" t="inlineStr">
        <is>
          <t>SÖDERTÄLJE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17979-2024</t>
        </is>
      </c>
      <c r="B326" s="1" t="n">
        <v>45419</v>
      </c>
      <c r="C326" s="1" t="n">
        <v>45794</v>
      </c>
      <c r="D326" t="inlineStr">
        <is>
          <t>STOCKHOLMS LÄN</t>
        </is>
      </c>
      <c r="E326" t="inlineStr">
        <is>
          <t>SÖDERTÄLJE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17877-2024</t>
        </is>
      </c>
      <c r="B327" s="1" t="n">
        <v>45419</v>
      </c>
      <c r="C327" s="1" t="n">
        <v>45794</v>
      </c>
      <c r="D327" t="inlineStr">
        <is>
          <t>STOCKHOLMS LÄN</t>
        </is>
      </c>
      <c r="E327" t="inlineStr">
        <is>
          <t>SÖDERTÄLJE</t>
        </is>
      </c>
      <c r="G327" t="n">
        <v>9.4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18352-2024</t>
        </is>
      </c>
      <c r="B328" s="1" t="n">
        <v>45422</v>
      </c>
      <c r="C328" s="1" t="n">
        <v>45794</v>
      </c>
      <c r="D328" t="inlineStr">
        <is>
          <t>STOCKHOLMS LÄN</t>
        </is>
      </c>
      <c r="E328" t="inlineStr">
        <is>
          <t>SÖDERTÄLJE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18993-2024</t>
        </is>
      </c>
      <c r="B329" s="1" t="n">
        <v>45427</v>
      </c>
      <c r="C329" s="1" t="n">
        <v>45794</v>
      </c>
      <c r="D329" t="inlineStr">
        <is>
          <t>STOCKHOLMS LÄN</t>
        </is>
      </c>
      <c r="E329" t="inlineStr">
        <is>
          <t>SÖDERTÄLJE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19210-2024</t>
        </is>
      </c>
      <c r="B330" s="1" t="n">
        <v>45428</v>
      </c>
      <c r="C330" s="1" t="n">
        <v>45794</v>
      </c>
      <c r="D330" t="inlineStr">
        <is>
          <t>STOCKHOLMS LÄN</t>
        </is>
      </c>
      <c r="E330" t="inlineStr">
        <is>
          <t>SÖDERTÄLJE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20530-2024</t>
        </is>
      </c>
      <c r="B331" s="1" t="n">
        <v>45435</v>
      </c>
      <c r="C331" s="1" t="n">
        <v>45794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22617-2024</t>
        </is>
      </c>
      <c r="B332" s="1" t="n">
        <v>45447</v>
      </c>
      <c r="C332" s="1" t="n">
        <v>45794</v>
      </c>
      <c r="D332" t="inlineStr">
        <is>
          <t>STOCKHOLMS LÄN</t>
        </is>
      </c>
      <c r="E332" t="inlineStr">
        <is>
          <t>SÖDERTÄLJE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23367-2024</t>
        </is>
      </c>
      <c r="B333" s="1" t="n">
        <v>45453</v>
      </c>
      <c r="C333" s="1" t="n">
        <v>45794</v>
      </c>
      <c r="D333" t="inlineStr">
        <is>
          <t>STOCKHOLMS LÄN</t>
        </is>
      </c>
      <c r="E333" t="inlineStr">
        <is>
          <t>SÖDERTÄLJE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26902-2024</t>
        </is>
      </c>
      <c r="B334" s="1" t="n">
        <v>45470</v>
      </c>
      <c r="C334" s="1" t="n">
        <v>45794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26842-2024</t>
        </is>
      </c>
      <c r="B335" s="1" t="n">
        <v>45470</v>
      </c>
      <c r="C335" s="1" t="n">
        <v>45794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26734-2024</t>
        </is>
      </c>
      <c r="B336" s="1" t="n">
        <v>45470</v>
      </c>
      <c r="C336" s="1" t="n">
        <v>45794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26909-2024</t>
        </is>
      </c>
      <c r="B337" s="1" t="n">
        <v>45470</v>
      </c>
      <c r="C337" s="1" t="n">
        <v>45794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26813-2024</t>
        </is>
      </c>
      <c r="B338" s="1" t="n">
        <v>45470</v>
      </c>
      <c r="C338" s="1" t="n">
        <v>45794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27047-2024</t>
        </is>
      </c>
      <c r="B339" s="1" t="n">
        <v>45471</v>
      </c>
      <c r="C339" s="1" t="n">
        <v>45794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27058-2024</t>
        </is>
      </c>
      <c r="B340" s="1" t="n">
        <v>45471</v>
      </c>
      <c r="C340" s="1" t="n">
        <v>45794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28982-2024</t>
        </is>
      </c>
      <c r="B341" s="1" t="n">
        <v>45481</v>
      </c>
      <c r="C341" s="1" t="n">
        <v>45794</v>
      </c>
      <c r="D341" t="inlineStr">
        <is>
          <t>STOCKHOLMS LÄN</t>
        </is>
      </c>
      <c r="E341" t="inlineStr">
        <is>
          <t>SÖDERTÄLJE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31212-2024</t>
        </is>
      </c>
      <c r="B342" s="1" t="n">
        <v>45503</v>
      </c>
      <c r="C342" s="1" t="n">
        <v>45794</v>
      </c>
      <c r="D342" t="inlineStr">
        <is>
          <t>STOCKHOLMS LÄN</t>
        </is>
      </c>
      <c r="E342" t="inlineStr">
        <is>
          <t>SÖDERTÄLJE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31375-2024</t>
        </is>
      </c>
      <c r="B343" s="1" t="n">
        <v>45505</v>
      </c>
      <c r="C343" s="1" t="n">
        <v>45794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32200-2024</t>
        </is>
      </c>
      <c r="B344" s="1" t="n">
        <v>45511</v>
      </c>
      <c r="C344" s="1" t="n">
        <v>45794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34193-2024</t>
        </is>
      </c>
      <c r="B345" s="1" t="n">
        <v>45524</v>
      </c>
      <c r="C345" s="1" t="n">
        <v>45794</v>
      </c>
      <c r="D345" t="inlineStr">
        <is>
          <t>STOCKHOLMS LÄN</t>
        </is>
      </c>
      <c r="E345" t="inlineStr">
        <is>
          <t>SÖDERTÄLJE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34194-2024</t>
        </is>
      </c>
      <c r="B346" s="1" t="n">
        <v>45524</v>
      </c>
      <c r="C346" s="1" t="n">
        <v>45794</v>
      </c>
      <c r="D346" t="inlineStr">
        <is>
          <t>STOCKHOLMS LÄN</t>
        </is>
      </c>
      <c r="E346" t="inlineStr">
        <is>
          <t>SÖDERTÄLJE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37452-2024</t>
        </is>
      </c>
      <c r="B347" s="1" t="n">
        <v>45540</v>
      </c>
      <c r="C347" s="1" t="n">
        <v>45794</v>
      </c>
      <c r="D347" t="inlineStr">
        <is>
          <t>STOCKHOLMS LÄN</t>
        </is>
      </c>
      <c r="E347" t="inlineStr">
        <is>
          <t>SÖDERTÄLJE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37511-2024</t>
        </is>
      </c>
      <c r="B348" s="1" t="n">
        <v>45541</v>
      </c>
      <c r="C348" s="1" t="n">
        <v>45794</v>
      </c>
      <c r="D348" t="inlineStr">
        <is>
          <t>STOCKHOLMS LÄN</t>
        </is>
      </c>
      <c r="E348" t="inlineStr">
        <is>
          <t>SÖDERTÄLJE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37536-2024</t>
        </is>
      </c>
      <c r="B349" s="1" t="n">
        <v>45541</v>
      </c>
      <c r="C349" s="1" t="n">
        <v>45794</v>
      </c>
      <c r="D349" t="inlineStr">
        <is>
          <t>STOCKHOLMS LÄN</t>
        </is>
      </c>
      <c r="E349" t="inlineStr">
        <is>
          <t>SÖDERTÄLJE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37504-2024</t>
        </is>
      </c>
      <c r="B350" s="1" t="n">
        <v>45541</v>
      </c>
      <c r="C350" s="1" t="n">
        <v>45794</v>
      </c>
      <c r="D350" t="inlineStr">
        <is>
          <t>STOCKHOLMS LÄN</t>
        </is>
      </c>
      <c r="E350" t="inlineStr">
        <is>
          <t>SÖDERTÄLJE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42339-2024</t>
        </is>
      </c>
      <c r="B351" s="1" t="n">
        <v>45562</v>
      </c>
      <c r="C351" s="1" t="n">
        <v>45794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42337-2024</t>
        </is>
      </c>
      <c r="B352" s="1" t="n">
        <v>45562</v>
      </c>
      <c r="C352" s="1" t="n">
        <v>45794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51026-2024</t>
        </is>
      </c>
      <c r="B353" s="1" t="n">
        <v>45603</v>
      </c>
      <c r="C353" s="1" t="n">
        <v>45794</v>
      </c>
      <c r="D353" t="inlineStr">
        <is>
          <t>STOCKHOLMS LÄN</t>
        </is>
      </c>
      <c r="E353" t="inlineStr">
        <is>
          <t>SÖDERTÄLJE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51082-2024</t>
        </is>
      </c>
      <c r="B354" s="1" t="n">
        <v>45603</v>
      </c>
      <c r="C354" s="1" t="n">
        <v>45794</v>
      </c>
      <c r="D354" t="inlineStr">
        <is>
          <t>STOCKHOLMS LÄN</t>
        </is>
      </c>
      <c r="E354" t="inlineStr">
        <is>
          <t>SÖDERTÄLJE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51354-2024</t>
        </is>
      </c>
      <c r="B355" s="1" t="n">
        <v>45604</v>
      </c>
      <c r="C355" s="1" t="n">
        <v>45794</v>
      </c>
      <c r="D355" t="inlineStr">
        <is>
          <t>STOCKHOLMS LÄN</t>
        </is>
      </c>
      <c r="E355" t="inlineStr">
        <is>
          <t>SÖDERTÄLJE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51353-2024</t>
        </is>
      </c>
      <c r="B356" s="1" t="n">
        <v>45604</v>
      </c>
      <c r="C356" s="1" t="n">
        <v>45794</v>
      </c>
      <c r="D356" t="inlineStr">
        <is>
          <t>STOCKHOLMS LÄN</t>
        </is>
      </c>
      <c r="E356" t="inlineStr">
        <is>
          <t>SÖDERTÄLJE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52122-2024</t>
        </is>
      </c>
      <c r="B357" s="1" t="n">
        <v>45608</v>
      </c>
      <c r="C357" s="1" t="n">
        <v>45794</v>
      </c>
      <c r="D357" t="inlineStr">
        <is>
          <t>STOCKHOLMS LÄN</t>
        </is>
      </c>
      <c r="E357" t="inlineStr">
        <is>
          <t>SÖDERTÄLJE</t>
        </is>
      </c>
      <c r="G357" t="n">
        <v>15.1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54596-2024</t>
        </is>
      </c>
      <c r="B358" s="1" t="n">
        <v>45617</v>
      </c>
      <c r="C358" s="1" t="n">
        <v>45794</v>
      </c>
      <c r="D358" t="inlineStr">
        <is>
          <t>STOCKHOLMS LÄN</t>
        </is>
      </c>
      <c r="E358" t="inlineStr">
        <is>
          <t>SÖDERTÄLJE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54600-2024</t>
        </is>
      </c>
      <c r="B359" s="1" t="n">
        <v>45617</v>
      </c>
      <c r="C359" s="1" t="n">
        <v>45794</v>
      </c>
      <c r="D359" t="inlineStr">
        <is>
          <t>STOCKHOLMS LÄN</t>
        </is>
      </c>
      <c r="E359" t="inlineStr">
        <is>
          <t>SÖDERTÄLJE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57010-2024</t>
        </is>
      </c>
      <c r="B360" s="1" t="n">
        <v>45628</v>
      </c>
      <c r="C360" s="1" t="n">
        <v>45794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Kyrkan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57821-2024</t>
        </is>
      </c>
      <c r="B361" s="1" t="n">
        <v>45631</v>
      </c>
      <c r="C361" s="1" t="n">
        <v>45794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57828-2024</t>
        </is>
      </c>
      <c r="B362" s="1" t="n">
        <v>45631</v>
      </c>
      <c r="C362" s="1" t="n">
        <v>45794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57832-2024</t>
        </is>
      </c>
      <c r="B363" s="1" t="n">
        <v>45631</v>
      </c>
      <c r="C363" s="1" t="n">
        <v>45794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60635-2024</t>
        </is>
      </c>
      <c r="B364" s="1" t="n">
        <v>45644</v>
      </c>
      <c r="C364" s="1" t="n">
        <v>45794</v>
      </c>
      <c r="D364" t="inlineStr">
        <is>
          <t>STOCKHOLMS LÄN</t>
        </is>
      </c>
      <c r="E364" t="inlineStr">
        <is>
          <t>SÖDERTÄLJE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1759-2025</t>
        </is>
      </c>
      <c r="B365" s="1" t="n">
        <v>45671</v>
      </c>
      <c r="C365" s="1" t="n">
        <v>45794</v>
      </c>
      <c r="D365" t="inlineStr">
        <is>
          <t>STOCKHOLMS LÄN</t>
        </is>
      </c>
      <c r="E365" t="inlineStr">
        <is>
          <t>SÖDERTÄLJE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6157-2025</t>
        </is>
      </c>
      <c r="B366" s="1" t="n">
        <v>45698</v>
      </c>
      <c r="C366" s="1" t="n">
        <v>45794</v>
      </c>
      <c r="D366" t="inlineStr">
        <is>
          <t>STOCKHOLMS LÄN</t>
        </is>
      </c>
      <c r="E366" t="inlineStr">
        <is>
          <t>SÖDERTÄLJE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8320-2025</t>
        </is>
      </c>
      <c r="B367" s="1" t="n">
        <v>45708</v>
      </c>
      <c r="C367" s="1" t="n">
        <v>45794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8316-2025</t>
        </is>
      </c>
      <c r="B368" s="1" t="n">
        <v>45708</v>
      </c>
      <c r="C368" s="1" t="n">
        <v>45794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8323-2025</t>
        </is>
      </c>
      <c r="B369" s="1" t="n">
        <v>45708</v>
      </c>
      <c r="C369" s="1" t="n">
        <v>45794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9562-2025</t>
        </is>
      </c>
      <c r="B370" s="1" t="n">
        <v>45715</v>
      </c>
      <c r="C370" s="1" t="n">
        <v>45794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9891-2025</t>
        </is>
      </c>
      <c r="B371" s="1" t="n">
        <v>45716</v>
      </c>
      <c r="C371" s="1" t="n">
        <v>45794</v>
      </c>
      <c r="D371" t="inlineStr">
        <is>
          <t>STOCKHOLMS LÄN</t>
        </is>
      </c>
      <c r="E371" t="inlineStr">
        <is>
          <t>SÖDERTÄLJE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10285-2025</t>
        </is>
      </c>
      <c r="B372" s="1" t="n">
        <v>45720</v>
      </c>
      <c r="C372" s="1" t="n">
        <v>45794</v>
      </c>
      <c r="D372" t="inlineStr">
        <is>
          <t>STOCKHOLMS LÄN</t>
        </is>
      </c>
      <c r="E372" t="inlineStr">
        <is>
          <t>SÖDERTÄLJE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10277-2025</t>
        </is>
      </c>
      <c r="B373" s="1" t="n">
        <v>45720</v>
      </c>
      <c r="C373" s="1" t="n">
        <v>45794</v>
      </c>
      <c r="D373" t="inlineStr">
        <is>
          <t>STOCKHOLMS LÄN</t>
        </is>
      </c>
      <c r="E373" t="inlineStr">
        <is>
          <t>SÖDERTÄLJE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10280-2025</t>
        </is>
      </c>
      <c r="B374" s="1" t="n">
        <v>45720</v>
      </c>
      <c r="C374" s="1" t="n">
        <v>45794</v>
      </c>
      <c r="D374" t="inlineStr">
        <is>
          <t>STOCKHOLMS LÄN</t>
        </is>
      </c>
      <c r="E374" t="inlineStr">
        <is>
          <t>SÖDERTÄLJE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10263-2025</t>
        </is>
      </c>
      <c r="B375" s="1" t="n">
        <v>45720</v>
      </c>
      <c r="C375" s="1" t="n">
        <v>45794</v>
      </c>
      <c r="D375" t="inlineStr">
        <is>
          <t>STOCKHOLMS LÄN</t>
        </is>
      </c>
      <c r="E375" t="inlineStr">
        <is>
          <t>SÖDERTÄLJE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11139-2025</t>
        </is>
      </c>
      <c r="B376" s="1" t="n">
        <v>45723</v>
      </c>
      <c r="C376" s="1" t="n">
        <v>45794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11179-2025</t>
        </is>
      </c>
      <c r="B377" s="1" t="n">
        <v>45725</v>
      </c>
      <c r="C377" s="1" t="n">
        <v>45794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11343-2025</t>
        </is>
      </c>
      <c r="B378" s="1" t="n">
        <v>45726</v>
      </c>
      <c r="C378" s="1" t="n">
        <v>45794</v>
      </c>
      <c r="D378" t="inlineStr">
        <is>
          <t>STOCKHOLMS LÄN</t>
        </is>
      </c>
      <c r="E378" t="inlineStr">
        <is>
          <t>SÖDERTÄLJE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11313-2025</t>
        </is>
      </c>
      <c r="B379" s="1" t="n">
        <v>45726</v>
      </c>
      <c r="C379" s="1" t="n">
        <v>45794</v>
      </c>
      <c r="D379" t="inlineStr">
        <is>
          <t>STOCKHOLMS LÄN</t>
        </is>
      </c>
      <c r="E379" t="inlineStr">
        <is>
          <t>SÖDERTÄLJE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14152-2025</t>
        </is>
      </c>
      <c r="B380" s="1" t="n">
        <v>45740</v>
      </c>
      <c r="C380" s="1" t="n">
        <v>45794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16520-2025</t>
        </is>
      </c>
      <c r="B381" s="1" t="n">
        <v>45751</v>
      </c>
      <c r="C381" s="1" t="n">
        <v>45794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20091-2025</t>
        </is>
      </c>
      <c r="B382" s="1" t="n">
        <v>45771</v>
      </c>
      <c r="C382" s="1" t="n">
        <v>45794</v>
      </c>
      <c r="D382" t="inlineStr">
        <is>
          <t>STOCKHOLMS LÄN</t>
        </is>
      </c>
      <c r="E382" t="inlineStr">
        <is>
          <t>SÖDERTÄLJE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20587-2025</t>
        </is>
      </c>
      <c r="B383" s="1" t="n">
        <v>45775</v>
      </c>
      <c r="C383" s="1" t="n">
        <v>45794</v>
      </c>
      <c r="D383" t="inlineStr">
        <is>
          <t>STOCKHOLMS LÄN</t>
        </is>
      </c>
      <c r="E383" t="inlineStr">
        <is>
          <t>SÖDERTÄLJE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45794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22748-2025</t>
        </is>
      </c>
      <c r="B385" s="1" t="n">
        <v>45789</v>
      </c>
      <c r="C385" s="1" t="n">
        <v>45794</v>
      </c>
      <c r="D385" t="inlineStr">
        <is>
          <t>STOCKHOLMS LÄN</t>
        </is>
      </c>
      <c r="E385" t="inlineStr">
        <is>
          <t>SÖDERTÄLJE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2025-05-17T17:14:02Z</dcterms:created>
  <dcterms:modified xmlns:dcterms="http://purl.org/dc/terms/" xmlns:xsi="http://www.w3.org/2001/XMLSchema-instance" xsi:type="dcterms:W3CDTF">2025-05-17T17:14:03Z</dcterms:modified>
</cp:coreProperties>
</file>