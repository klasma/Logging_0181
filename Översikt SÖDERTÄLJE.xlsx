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46291</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46291</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46291</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46291</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46291</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46291</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46291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46291</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46291</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46291</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46291</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36854-2025</t>
        </is>
      </c>
      <c r="B18" t="inlineStr">
        <is>
          <t>avverkningsanmälan</t>
        </is>
      </c>
      <c r="C18" t="inlineStr">
        <is>
          <t>Föryngringsavverkning</t>
        </is>
      </c>
      <c r="D18" s="1" t="n">
        <v>45874</v>
      </c>
      <c r="E18" s="1" t="n">
        <v>46291</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35937-2023</t>
        </is>
      </c>
      <c r="B19" t="inlineStr">
        <is>
          <t>avverkningsanmälan</t>
        </is>
      </c>
      <c r="C19" t="inlineStr">
        <is>
          <t>Föryngringsavverkning</t>
        </is>
      </c>
      <c r="D19" s="1" t="n">
        <v>45148</v>
      </c>
      <c r="E19" s="1" t="n">
        <v>46291</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46291</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2680-2026</t>
        </is>
      </c>
      <c r="B21" t="inlineStr">
        <is>
          <t>avverkningsanmälan</t>
        </is>
      </c>
      <c r="C21" t="inlineStr">
        <is>
          <t>Föryngringsavverkning</t>
        </is>
      </c>
      <c r="D21" s="1" t="n">
        <v>46037</v>
      </c>
      <c r="E21" s="1" t="n">
        <v>46291</v>
      </c>
      <c r="F21" t="inlineStr">
        <is>
          <t>STOCKHOLMS LÄN</t>
        </is>
      </c>
      <c r="G21" t="inlineStr">
        <is>
          <t>SÖDERTÄLJE</t>
        </is>
      </c>
      <c r="I21" t="n">
        <v>2.2</v>
      </c>
      <c r="J21" t="n">
        <v>0</v>
      </c>
      <c r="K21" t="n">
        <v>2</v>
      </c>
      <c r="L21" t="n">
        <v>3</v>
      </c>
      <c r="M21" t="n">
        <v>0</v>
      </c>
      <c r="N21" t="n">
        <v>0</v>
      </c>
      <c r="O21" t="n">
        <v>0</v>
      </c>
      <c r="P21" t="n">
        <v>0</v>
      </c>
      <c r="Q21" t="n">
        <v>3</v>
      </c>
      <c r="R21" t="n">
        <v>0</v>
      </c>
      <c r="S21" t="n">
        <v>5</v>
      </c>
      <c r="T21" t="n">
        <v>5</v>
      </c>
      <c r="U21" t="n">
        <v>0</v>
      </c>
      <c r="V21" s="2" t="inlineStr">
        <is>
          <t>Klasefibbla
Svinrot
Vårärt
Springkorn
Svart trolldruva</t>
        </is>
      </c>
      <c r="W21">
        <f>HYPERLINK("https://klasma.github.io/Logging_0181/artfynd/A 2680-2026 artfynd.xlsx", "A 2680-2026")</f>
        <v/>
      </c>
      <c r="X21">
        <f>HYPERLINK("https://klasma.github.io/Logging_0181/kartor/A 2680-2026 karta.png", "A 2680-2026")</f>
        <v/>
      </c>
      <c r="Y21">
        <f>HYPERLINK("https://klasma.github.io/Logging_0181/kartor_geotiff/A 2680-2026 georefererad karta.tif", "A 2680-2026")</f>
        <v/>
      </c>
      <c r="AA21">
        <f>HYPERLINK("https://klasma.github.io/Logging_0181/klagomål/A 2680-2026 FSC-klagomål.docx", "A 2680-2026")</f>
        <v/>
      </c>
      <c r="AB21">
        <f>HYPERLINK("https://klasma.github.io/Logging_0181/klagomålsmail/A 2680-2026 FSC-klagomål mail.docx", "A 2680-2026")</f>
        <v/>
      </c>
      <c r="AC21">
        <f>HYPERLINK("https://klasma.github.io/Logging_0181/tillsyn/A 2680-2026 tillsynsbegäran.docx", "A 2680-2026")</f>
        <v/>
      </c>
      <c r="AD21">
        <f>HYPERLINK("https://klasma.github.io/Logging_0181/tillsynsmail/A 2680-2026 tillsynsbegäran mail.docx", "A 2680-2026")</f>
        <v/>
      </c>
    </row>
    <row r="22" ht="15" customHeight="1">
      <c r="A22" t="inlineStr">
        <is>
          <t>A 48341-2025</t>
        </is>
      </c>
      <c r="B22" t="inlineStr">
        <is>
          <t>avverkningsanmälan</t>
        </is>
      </c>
      <c r="C22" t="inlineStr">
        <is>
          <t>Föryngringsavverkning</t>
        </is>
      </c>
      <c r="D22" s="1" t="n">
        <v>45933</v>
      </c>
      <c r="E22" s="1" t="n">
        <v>46291</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46291</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62320-2023</t>
        </is>
      </c>
      <c r="B24" t="inlineStr">
        <is>
          <t>avverkningsanmälan</t>
        </is>
      </c>
      <c r="C24" t="inlineStr">
        <is>
          <t>Föryngringsavverkning</t>
        </is>
      </c>
      <c r="D24" s="1" t="n">
        <v>45267</v>
      </c>
      <c r="E24" s="1" t="n">
        <v>46291</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46291</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46291</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46291</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46291</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48342-2025</t>
        </is>
      </c>
      <c r="B29" t="inlineStr">
        <is>
          <t>avverkningsanmälan</t>
        </is>
      </c>
      <c r="C29" t="inlineStr">
        <is>
          <t>Föryngringsavverkning</t>
        </is>
      </c>
      <c r="D29" s="1" t="n">
        <v>45933</v>
      </c>
      <c r="E29" s="1" t="n">
        <v>46291</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46291</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46291</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46291</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46291</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46291</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46291</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46291</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46291</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35155-2023</t>
        </is>
      </c>
      <c r="B38" t="inlineStr">
        <is>
          <t>avverkningsanmälan</t>
        </is>
      </c>
      <c r="C38" t="inlineStr">
        <is>
          <t>Föryngringsavverkning</t>
        </is>
      </c>
      <c r="D38" s="1" t="n">
        <v>45145</v>
      </c>
      <c r="E38" s="1" t="n">
        <v>46291</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46291</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46291</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46291</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46291</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46291</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46291</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46291</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46291</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46291</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46291</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46291</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23772-2025</t>
        </is>
      </c>
      <c r="B50" t="inlineStr">
        <is>
          <t>avverkningsanmälan</t>
        </is>
      </c>
      <c r="C50" t="inlineStr">
        <is>
          <t>Föryngringsavverkning</t>
        </is>
      </c>
      <c r="D50" s="1" t="n">
        <v>45793</v>
      </c>
      <c r="E50" s="1" t="n">
        <v>46291</v>
      </c>
      <c r="F50" t="inlineStr">
        <is>
          <t>STOCKHOLMS LÄN</t>
        </is>
      </c>
      <c r="G50" t="inlineStr">
        <is>
          <t>SÖDERTÄLJE</t>
        </is>
      </c>
      <c r="I50" t="n">
        <v>1.2</v>
      </c>
      <c r="J50" t="n">
        <v>1</v>
      </c>
      <c r="K50" t="n">
        <v>0</v>
      </c>
      <c r="L50" t="n">
        <v>1</v>
      </c>
      <c r="M50" t="n">
        <v>0</v>
      </c>
      <c r="N50" t="n">
        <v>0</v>
      </c>
      <c r="O50" t="n">
        <v>0</v>
      </c>
      <c r="P50" t="n">
        <v>0</v>
      </c>
      <c r="Q50" t="n">
        <v>1</v>
      </c>
      <c r="R50" t="n">
        <v>0</v>
      </c>
      <c r="S50" t="n">
        <v>1</v>
      </c>
      <c r="T50" t="n">
        <v>1</v>
      </c>
      <c r="U50" t="n">
        <v>0</v>
      </c>
      <c r="V50" s="2" t="inlineStr">
        <is>
          <t>Rödvingetrast</t>
        </is>
      </c>
      <c r="W50">
        <f>HYPERLINK("https://klasma.github.io/Logging_0181/artfynd/A 23772-2025 artfynd.xlsx", "A 23772-2025")</f>
        <v/>
      </c>
      <c r="X50">
        <f>HYPERLINK("https://klasma.github.io/Logging_0181/kartor/A 23772-2025 karta.png", "A 23772-2025")</f>
        <v/>
      </c>
      <c r="Y50">
        <f>HYPERLINK("https://klasma.github.io/Logging_0181/kartor_geotiff/A 23772-2025 georefererad karta.tif", "A 23772-2025")</f>
        <v/>
      </c>
      <c r="AA50">
        <f>HYPERLINK("https://klasma.github.io/Logging_0181/klagomål/A 23772-2025 FSC-klagomål.docx", "A 23772-2025")</f>
        <v/>
      </c>
      <c r="AB50">
        <f>HYPERLINK("https://klasma.github.io/Logging_0181/klagomålsmail/A 23772-2025 FSC-klagomål mail.docx", "A 23772-2025")</f>
        <v/>
      </c>
      <c r="AC50">
        <f>HYPERLINK("https://klasma.github.io/Logging_0181/tillsyn/A 23772-2025 tillsynsbegäran.docx", "A 23772-2025")</f>
        <v/>
      </c>
      <c r="AD50">
        <f>HYPERLINK("https://klasma.github.io/Logging_0181/tillsynsmail/A 23772-2025 tillsynsbegäran mail.docx", "A 23772-2025")</f>
        <v/>
      </c>
      <c r="AE50">
        <f>HYPERLINK("https://klasma.github.io/Logging_0181/fåglar/A 23772-2025 prioriterade fågelarter.docx", "A 23772-2025")</f>
        <v/>
      </c>
    </row>
    <row r="51" ht="15" customHeight="1">
      <c r="A51" t="inlineStr">
        <is>
          <t>A 41702-2025</t>
        </is>
      </c>
      <c r="B51" t="inlineStr">
        <is>
          <t>avverkningsanmälan</t>
        </is>
      </c>
      <c r="C51" t="inlineStr">
        <is>
          <t>Föryngringsavverkning</t>
        </is>
      </c>
      <c r="D51" s="1" t="n">
        <v>45902</v>
      </c>
      <c r="E51" s="1" t="n">
        <v>46291</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46291</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32044-2023</t>
        </is>
      </c>
      <c r="B53" t="inlineStr">
        <is>
          <t>avverkningsanmälan</t>
        </is>
      </c>
      <c r="C53" t="inlineStr">
        <is>
          <t>Föryngringsavverkning</t>
        </is>
      </c>
      <c r="D53" s="1" t="n">
        <v>45119</v>
      </c>
      <c r="E53" s="1" t="n">
        <v>46291</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52046-2022</t>
        </is>
      </c>
      <c r="B54" t="inlineStr">
        <is>
          <t>avverkningsanmälan</t>
        </is>
      </c>
      <c r="C54" t="inlineStr">
        <is>
          <t>Föryngringsavverkning</t>
        </is>
      </c>
      <c r="D54" s="1" t="n">
        <v>44868</v>
      </c>
      <c r="E54" s="1" t="n">
        <v>46291</v>
      </c>
      <c r="F54" t="inlineStr">
        <is>
          <t>STOCKHOLMS LÄN</t>
        </is>
      </c>
      <c r="G54" t="inlineStr">
        <is>
          <t>SÖDERTÄLJE</t>
        </is>
      </c>
      <c r="H54" t="inlineStr">
        <is>
          <t>Kommuner</t>
        </is>
      </c>
      <c r="I54" t="n">
        <v>8.4</v>
      </c>
      <c r="J54" t="n">
        <v>0</v>
      </c>
      <c r="K54" t="n">
        <v>0</v>
      </c>
      <c r="L54" t="n">
        <v>1</v>
      </c>
      <c r="M54" t="n">
        <v>0</v>
      </c>
      <c r="N54" t="n">
        <v>0</v>
      </c>
      <c r="O54" t="n">
        <v>0</v>
      </c>
      <c r="P54" t="n">
        <v>0</v>
      </c>
      <c r="Q54" t="n">
        <v>1</v>
      </c>
      <c r="R54" t="n">
        <v>0</v>
      </c>
      <c r="S54" t="n">
        <v>1</v>
      </c>
      <c r="T54" t="n">
        <v>1</v>
      </c>
      <c r="U54" t="n">
        <v>0</v>
      </c>
      <c r="V54" s="2" t="inlineStr">
        <is>
          <t>Tjockfotad fingersvamp</t>
        </is>
      </c>
      <c r="W54">
        <f>HYPERLINK("https://klasma.github.io/Logging_0181/artfynd/A 52046-2022 artfynd.xlsx", "A 52046-2022")</f>
        <v/>
      </c>
      <c r="X54">
        <f>HYPERLINK("https://klasma.github.io/Logging_0181/kartor/A 52046-2022 karta.png", "A 52046-2022")</f>
        <v/>
      </c>
      <c r="Y54">
        <f>HYPERLINK("https://klasma.github.io/Logging_0181/kartor_geotiff/A 52046-2022 georefererad karta.tif", "A 52046-2022")</f>
        <v/>
      </c>
      <c r="AA54">
        <f>HYPERLINK("https://klasma.github.io/Logging_0181/klagomål/A 52046-2022 FSC-klagomål.docx", "A 52046-2022")</f>
        <v/>
      </c>
      <c r="AB54">
        <f>HYPERLINK("https://klasma.github.io/Logging_0181/klagomålsmail/A 52046-2022 FSC-klagomål mail.docx", "A 52046-2022")</f>
        <v/>
      </c>
      <c r="AC54">
        <f>HYPERLINK("https://klasma.github.io/Logging_0181/tillsyn/A 52046-2022 tillsynsbegäran.docx", "A 52046-2022")</f>
        <v/>
      </c>
      <c r="AD54">
        <f>HYPERLINK("https://klasma.github.io/Logging_0181/tillsynsmail/A 52046-2022 tillsynsbegäran mail.docx", "A 52046-2022")</f>
        <v/>
      </c>
    </row>
    <row r="55" ht="15" customHeight="1">
      <c r="A55" t="inlineStr">
        <is>
          <t>A 36502-2025</t>
        </is>
      </c>
      <c r="B55" t="inlineStr">
        <is>
          <t>avverkningsanmälan</t>
        </is>
      </c>
      <c r="C55" t="inlineStr">
        <is>
          <t>Föryngringsavverkning</t>
        </is>
      </c>
      <c r="D55" s="1" t="n">
        <v>45869</v>
      </c>
      <c r="E55" s="1" t="n">
        <v>46291</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46291</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14092-2023</t>
        </is>
      </c>
      <c r="B57" t="inlineStr">
        <is>
          <t>avverkningsanmälan</t>
        </is>
      </c>
      <c r="C57" t="inlineStr">
        <is>
          <t>Föryngringsavverkning</t>
        </is>
      </c>
      <c r="D57" s="1" t="n">
        <v>45009</v>
      </c>
      <c r="E57" s="1" t="n">
        <v>46291</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46291</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30565-2026</t>
        </is>
      </c>
      <c r="B59" t="inlineStr">
        <is>
          <t>avverkningsanmälan</t>
        </is>
      </c>
      <c r="C59" t="inlineStr">
        <is>
          <t>Föryngringsavverkning</t>
        </is>
      </c>
      <c r="D59" s="1" t="n">
        <v>46210</v>
      </c>
      <c r="E59" s="1" t="n">
        <v>46291</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56596-2023</t>
        </is>
      </c>
      <c r="B60" t="inlineStr">
        <is>
          <t>avverkningsanmälan</t>
        </is>
      </c>
      <c r="C60" t="inlineStr">
        <is>
          <t>Föryngringsavverkning</t>
        </is>
      </c>
      <c r="D60" s="1" t="n">
        <v>45243</v>
      </c>
      <c r="E60" s="1" t="n">
        <v>46291</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t="n">
        <v>0</v>
      </c>
      <c r="V60" s="2" t="inlineStr">
        <is>
          <t>Jättesvampmal</t>
        </is>
      </c>
      <c r="W60">
        <f>HYPERLINK("https://klasma.github.io/Logging_0181/artfynd/A 56596-2023 artfynd.xlsx", "A 56596-2023")</f>
        <v/>
      </c>
      <c r="X60">
        <f>HYPERLINK("https://klasma.github.io/Logging_0181/kartor/A 56596-2023 karta.png", "A 56596-2023")</f>
        <v/>
      </c>
      <c r="Y60">
        <f>HYPERLINK("https://klasma.github.io/Logging_0181/kartor_geotiff/A 56596-2023 georefererad karta.tif", "A 56596-2023")</f>
        <v/>
      </c>
      <c r="AA60">
        <f>HYPERLINK("https://klasma.github.io/Logging_0181/klagomål/A 56596-2023 FSC-klagomål.docx", "A 56596-2023")</f>
        <v/>
      </c>
      <c r="AB60">
        <f>HYPERLINK("https://klasma.github.io/Logging_0181/klagomålsmail/A 56596-2023 FSC-klagomål mail.docx", "A 56596-2023")</f>
        <v/>
      </c>
      <c r="AC60">
        <f>HYPERLINK("https://klasma.github.io/Logging_0181/tillsyn/A 56596-2023 tillsynsbegäran.docx", "A 56596-2023")</f>
        <v/>
      </c>
      <c r="AD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46291</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t="n">
        <v>1</v>
      </c>
      <c r="V61" s="2" t="inlineStr">
        <is>
          <t>Kopparödla</t>
        </is>
      </c>
      <c r="W61">
        <f>HYPERLINK("https://klasma.github.io/Logging_0181/artfynd/A 51087-2023 artfynd.xlsx", "A 51087-2023")</f>
        <v/>
      </c>
      <c r="X61">
        <f>HYPERLINK("https://klasma.github.io/Logging_0181/kartor/A 51087-2023 karta.png", "A 51087-2023")</f>
        <v/>
      </c>
      <c r="Y61">
        <f>HYPERLINK("https://klasma.github.io/Logging_0181/kartor_geotiff/A 51087-2023 georefererad karta.tif", "A 51087-2023")</f>
        <v/>
      </c>
      <c r="AA61">
        <f>HYPERLINK("https://klasma.github.io/Logging_0181/klagomål/A 51087-2023 FSC-klagomål.docx", "A 51087-2023")</f>
        <v/>
      </c>
      <c r="AB61">
        <f>HYPERLINK("https://klasma.github.io/Logging_0181/klagomålsmail/A 51087-2023 FSC-klagomål mail.docx", "A 51087-2023")</f>
        <v/>
      </c>
      <c r="AC61">
        <f>HYPERLINK("https://klasma.github.io/Logging_0181/tillsyn/A 51087-2023 tillsynsbegäran.docx", "A 51087-2023")</f>
        <v/>
      </c>
      <c r="AD61">
        <f>HYPERLINK("https://klasma.github.io/Logging_0181/tillsynsmail/A 51087-2023 tillsynsbegäran mail.docx", "A 51087-2023")</f>
        <v/>
      </c>
    </row>
    <row r="62" ht="15" customHeight="1">
      <c r="A62" t="inlineStr">
        <is>
          <t>A 32522-2026</t>
        </is>
      </c>
      <c r="B62" t="inlineStr">
        <is>
          <t>avverkningsanmälan</t>
        </is>
      </c>
      <c r="C62" t="inlineStr">
        <is>
          <t>Föryngringsavverkning</t>
        </is>
      </c>
      <c r="D62" s="1" t="n">
        <v>46239</v>
      </c>
      <c r="E62" s="1" t="n">
        <v>46291</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1946-2022</t>
        </is>
      </c>
      <c r="B63" t="inlineStr">
        <is>
          <t>avverkningsanmälan</t>
        </is>
      </c>
      <c r="C63" t="inlineStr">
        <is>
          <t>Föryngringsavverkning</t>
        </is>
      </c>
      <c r="D63" s="1" t="n">
        <v>44575</v>
      </c>
      <c r="E63" s="1" t="n">
        <v>46291</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46291</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46291</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46291</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46291</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46291</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46291</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46291</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46291</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46291</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46291</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46291</v>
      </c>
      <c r="F74" t="inlineStr">
        <is>
          <t>STOCKHOLMS LÄN</t>
        </is>
      </c>
      <c r="G74" t="inlineStr">
        <is>
          <t>SÖDERTÄLJE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18592-2023</t>
        </is>
      </c>
      <c r="B75" t="inlineStr">
        <is>
          <t>avverkningsanmälan</t>
        </is>
      </c>
      <c r="C75" t="inlineStr">
        <is>
          <t>Föryngringsavverkning</t>
        </is>
      </c>
      <c r="D75" s="1" t="n">
        <v>45043</v>
      </c>
      <c r="E75" s="1" t="n">
        <v>46291</v>
      </c>
      <c r="F75" t="inlineStr">
        <is>
          <t>STOCKHOLMS LÄN</t>
        </is>
      </c>
      <c r="G75" t="inlineStr">
        <is>
          <t>SÖDERTÄLJE</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46291</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46291</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56349-2023</t>
        </is>
      </c>
      <c r="B78" t="inlineStr">
        <is>
          <t>avverkningsanmälan</t>
        </is>
      </c>
      <c r="C78" t="inlineStr">
        <is>
          <t>Föryngringsavverkning</t>
        </is>
      </c>
      <c r="D78" s="1" t="n">
        <v>45243</v>
      </c>
      <c r="E78" s="1" t="n">
        <v>46291</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52815-2023</t>
        </is>
      </c>
      <c r="B79" t="inlineStr">
        <is>
          <t>avverkningsanmälan</t>
        </is>
      </c>
      <c r="C79" t="inlineStr">
        <is>
          <t>Föryngringsavverkning</t>
        </is>
      </c>
      <c r="D79" s="1" t="n">
        <v>45226</v>
      </c>
      <c r="E79" s="1" t="n">
        <v>46291</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3382-2024</t>
        </is>
      </c>
      <c r="B80" t="inlineStr">
        <is>
          <t>avverkningsanmälan</t>
        </is>
      </c>
      <c r="C80" t="inlineStr">
        <is>
          <t>Avverkning för att bevara och utveckla /försöksver</t>
        </is>
      </c>
      <c r="D80" s="1" t="n">
        <v>45317</v>
      </c>
      <c r="E80" s="1" t="n">
        <v>46291</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46291</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51353-2024</t>
        </is>
      </c>
      <c r="B82" t="inlineStr">
        <is>
          <t>avverkningsanmälan</t>
        </is>
      </c>
      <c r="C82" t="inlineStr">
        <is>
          <t>Föryngringsavverkning</t>
        </is>
      </c>
      <c r="D82" s="1" t="n">
        <v>45604</v>
      </c>
      <c r="E82" s="1" t="n">
        <v>46291</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234-2026</t>
        </is>
      </c>
      <c r="B83" t="inlineStr">
        <is>
          <t>avverkningsanmälan</t>
        </is>
      </c>
      <c r="C83" t="inlineStr">
        <is>
          <t>Föryngringsavverkning</t>
        </is>
      </c>
      <c r="D83" s="1" t="n">
        <v>46027</v>
      </c>
      <c r="E83" s="1" t="n">
        <v>46291</v>
      </c>
      <c r="F83" t="inlineStr">
        <is>
          <t>STOCKHOLMS LÄN</t>
        </is>
      </c>
      <c r="G83" t="inlineStr">
        <is>
          <t>SÖDERTÄLJE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243-2026</t>
        </is>
      </c>
      <c r="B84" t="inlineStr">
        <is>
          <t>avverkningsanmälan</t>
        </is>
      </c>
      <c r="C84" t="inlineStr">
        <is>
          <t>Föryngringsavverkning</t>
        </is>
      </c>
      <c r="D84" s="1" t="n">
        <v>46027</v>
      </c>
      <c r="E84" s="1" t="n">
        <v>46291</v>
      </c>
      <c r="F84" t="inlineStr">
        <is>
          <t>STOCKHOLMS LÄN</t>
        </is>
      </c>
      <c r="G84" t="inlineStr">
        <is>
          <t>SÖDERTÄLJE</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231-2026</t>
        </is>
      </c>
      <c r="B85" t="inlineStr">
        <is>
          <t>avverkningsanmälan</t>
        </is>
      </c>
      <c r="C85" t="inlineStr">
        <is>
          <t>Föryngringsavverkning</t>
        </is>
      </c>
      <c r="D85" s="1" t="n">
        <v>46027</v>
      </c>
      <c r="E85" s="1" t="n">
        <v>46291</v>
      </c>
      <c r="F85" t="inlineStr">
        <is>
          <t>STOCKHOLMS LÄN</t>
        </is>
      </c>
      <c r="G85" t="inlineStr">
        <is>
          <t>SÖDERTÄLJE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233-2026</t>
        </is>
      </c>
      <c r="B86" t="inlineStr">
        <is>
          <t>avverkningsanmälan</t>
        </is>
      </c>
      <c r="C86" t="inlineStr">
        <is>
          <t>Föryngringsavverkning</t>
        </is>
      </c>
      <c r="D86" s="1" t="n">
        <v>46027</v>
      </c>
      <c r="E86" s="1" t="n">
        <v>46291</v>
      </c>
      <c r="F86" t="inlineStr">
        <is>
          <t>STOCKHOLMS LÄN</t>
        </is>
      </c>
      <c r="G86" t="inlineStr">
        <is>
          <t>SÖDERTÄLJE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36886-2023</t>
        </is>
      </c>
      <c r="B87" t="inlineStr">
        <is>
          <t>avverkningsanmälan</t>
        </is>
      </c>
      <c r="C87" t="inlineStr">
        <is>
          <t>Avverkning för annat ändamål</t>
        </is>
      </c>
      <c r="D87" s="1" t="n">
        <v>45154</v>
      </c>
      <c r="E87" s="1" t="n">
        <v>46291</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95-2024</t>
        </is>
      </c>
      <c r="B88" t="inlineStr">
        <is>
          <t>avverkningsanmälan</t>
        </is>
      </c>
      <c r="C88" t="inlineStr">
        <is>
          <t>Föryngringsavverkning</t>
        </is>
      </c>
      <c r="D88" s="1" t="n">
        <v>45293</v>
      </c>
      <c r="E88" s="1" t="n">
        <v>46291</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49956-2022</t>
        </is>
      </c>
      <c r="B89" t="inlineStr">
        <is>
          <t>avverkningsanmälan</t>
        </is>
      </c>
      <c r="C89" t="inlineStr">
        <is>
          <t>Föryngringsavverkning</t>
        </is>
      </c>
      <c r="D89" s="1" t="n">
        <v>44865</v>
      </c>
      <c r="E89" s="1" t="n">
        <v>46291</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1696-2026</t>
        </is>
      </c>
      <c r="B90" t="inlineStr">
        <is>
          <t>avverkningsanmälan</t>
        </is>
      </c>
      <c r="C90" t="inlineStr">
        <is>
          <t>Föryngringsavverkning</t>
        </is>
      </c>
      <c r="D90" s="1" t="n">
        <v>46034</v>
      </c>
      <c r="E90" s="1" t="n">
        <v>46291</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1715-2026</t>
        </is>
      </c>
      <c r="B91" t="inlineStr">
        <is>
          <t>avverkningsanmälan</t>
        </is>
      </c>
      <c r="C91" t="inlineStr">
        <is>
          <t>Föryngringsavverkning</t>
        </is>
      </c>
      <c r="D91" s="1" t="n">
        <v>46034</v>
      </c>
      <c r="E91" s="1" t="n">
        <v>46291</v>
      </c>
      <c r="F91" t="inlineStr">
        <is>
          <t>STOCKHOLMS LÄN</t>
        </is>
      </c>
      <c r="G91" t="inlineStr">
        <is>
          <t>SÖDERTÄLJE</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2685-2026</t>
        </is>
      </c>
      <c r="B92" t="inlineStr">
        <is>
          <t>avverkningsanmälan</t>
        </is>
      </c>
      <c r="C92" t="inlineStr">
        <is>
          <t>Föryngringsavverkning</t>
        </is>
      </c>
      <c r="D92" s="1" t="n">
        <v>46037</v>
      </c>
      <c r="E92" s="1" t="n">
        <v>46291</v>
      </c>
      <c r="F92" t="inlineStr">
        <is>
          <t>STOCKHOLMS LÄN</t>
        </is>
      </c>
      <c r="G92" t="inlineStr">
        <is>
          <t>SÖDERTÄLJE</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23367-2024</t>
        </is>
      </c>
      <c r="B93" t="inlineStr">
        <is>
          <t>avverkningsanmälan</t>
        </is>
      </c>
      <c r="C93" t="inlineStr">
        <is>
          <t>Avverkning för annat ändamål</t>
        </is>
      </c>
      <c r="D93" s="1" t="n">
        <v>45453</v>
      </c>
      <c r="E93" s="1" t="n">
        <v>46291</v>
      </c>
      <c r="F93" t="inlineStr">
        <is>
          <t>STOCKHOLMS LÄN</t>
        </is>
      </c>
      <c r="G93" t="inlineStr">
        <is>
          <t>SÖDERTÄLJE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8611-2023</t>
        </is>
      </c>
      <c r="B94" t="inlineStr">
        <is>
          <t>avverkningsanmälan</t>
        </is>
      </c>
      <c r="C94" t="inlineStr">
        <is>
          <t>Avverkning för annat ändamål</t>
        </is>
      </c>
      <c r="D94" s="1" t="n">
        <v>44977</v>
      </c>
      <c r="E94" s="1" t="n">
        <v>46291</v>
      </c>
      <c r="F94" t="inlineStr">
        <is>
          <t>STOCKHOLMS LÄN</t>
        </is>
      </c>
      <c r="G94" t="inlineStr">
        <is>
          <t>SÖDERTÄLJE</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60635-2024</t>
        </is>
      </c>
      <c r="B95" t="inlineStr">
        <is>
          <t>avverkningsanmälan</t>
        </is>
      </c>
      <c r="C95" t="inlineStr">
        <is>
          <t>Föryngringsavverkning</t>
        </is>
      </c>
      <c r="D95" s="1" t="n">
        <v>45644</v>
      </c>
      <c r="E95" s="1" t="n">
        <v>46291</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7023-2026</t>
        </is>
      </c>
      <c r="B96" t="inlineStr">
        <is>
          <t>avverkningsanmälan</t>
        </is>
      </c>
      <c r="C96" t="inlineStr">
        <is>
          <t>Föryngringsavverkning</t>
        </is>
      </c>
      <c r="D96" s="1" t="n">
        <v>46057</v>
      </c>
      <c r="E96" s="1" t="n">
        <v>46291</v>
      </c>
      <c r="F96" t="inlineStr">
        <is>
          <t>STOCKHOLMS LÄN</t>
        </is>
      </c>
      <c r="G96" t="inlineStr">
        <is>
          <t>SÖDERTÄLJE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72218-2021</t>
        </is>
      </c>
      <c r="B97" t="inlineStr">
        <is>
          <t>avverkningsanmälan</t>
        </is>
      </c>
      <c r="C97" t="inlineStr">
        <is>
          <t>Föryngringsavverkning</t>
        </is>
      </c>
      <c r="D97" s="1" t="n">
        <v>44544</v>
      </c>
      <c r="E97" s="1" t="n">
        <v>46291</v>
      </c>
      <c r="F97" t="inlineStr">
        <is>
          <t>STOCKHOLMS LÄN</t>
        </is>
      </c>
      <c r="G97" t="inlineStr">
        <is>
          <t>SÖDERTÄLJE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314-2022</t>
        </is>
      </c>
      <c r="B98" t="inlineStr">
        <is>
          <t>avverkningsanmälan</t>
        </is>
      </c>
      <c r="C98" t="inlineStr">
        <is>
          <t>Föryngringsavverkning</t>
        </is>
      </c>
      <c r="D98" s="1" t="n">
        <v>44564</v>
      </c>
      <c r="E98" s="1" t="n">
        <v>46291</v>
      </c>
      <c r="F98" t="inlineStr">
        <is>
          <t>STOCKHOLMS LÄN</t>
        </is>
      </c>
      <c r="G98" t="inlineStr">
        <is>
          <t>SÖDERTÄLJE</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9234-2026</t>
        </is>
      </c>
      <c r="B99" t="inlineStr">
        <is>
          <t>avverkningsanmälan</t>
        </is>
      </c>
      <c r="C99" t="inlineStr">
        <is>
          <t>Föryngringsavverkning</t>
        </is>
      </c>
      <c r="D99" s="1" t="n">
        <v>46070</v>
      </c>
      <c r="E99" s="1" t="n">
        <v>46291</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3152-2026</t>
        </is>
      </c>
      <c r="B100" t="inlineStr">
        <is>
          <t>avverkningsanmälan</t>
        </is>
      </c>
      <c r="C100" t="inlineStr">
        <is>
          <t>Avverkning för annat ändamål</t>
        </is>
      </c>
      <c r="D100" s="1" t="n">
        <v>46041</v>
      </c>
      <c r="E100" s="1" t="n">
        <v>46291</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31375-2024</t>
        </is>
      </c>
      <c r="B101" t="inlineStr">
        <is>
          <t>avverkningsanmälan</t>
        </is>
      </c>
      <c r="C101" t="inlineStr">
        <is>
          <t>Avverkning för annat ändamål</t>
        </is>
      </c>
      <c r="D101" s="1" t="n">
        <v>45505</v>
      </c>
      <c r="E101" s="1" t="n">
        <v>46291</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10404-2026</t>
        </is>
      </c>
      <c r="B102" t="inlineStr">
        <is>
          <t>avverkningsanmälan</t>
        </is>
      </c>
      <c r="C102" t="inlineStr">
        <is>
          <t>Föryngringsavverkning</t>
        </is>
      </c>
      <c r="D102" s="1" t="n">
        <v>46077</v>
      </c>
      <c r="E102" s="1" t="n">
        <v>46291</v>
      </c>
      <c r="F102" t="inlineStr">
        <is>
          <t>STOCKHOLMS LÄN</t>
        </is>
      </c>
      <c r="G102" t="inlineStr">
        <is>
          <t>SÖDERTÄLJE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10425-2026</t>
        </is>
      </c>
      <c r="B103" t="inlineStr">
        <is>
          <t>avverkningsanmälan</t>
        </is>
      </c>
      <c r="C103" t="inlineStr">
        <is>
          <t>Föryngringsavverkning</t>
        </is>
      </c>
      <c r="D103" s="1" t="n">
        <v>46077</v>
      </c>
      <c r="E103" s="1" t="n">
        <v>46291</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10414-2026</t>
        </is>
      </c>
      <c r="B104" t="inlineStr">
        <is>
          <t>avverkningsanmälan</t>
        </is>
      </c>
      <c r="C104" t="inlineStr">
        <is>
          <t>Föryngringsavverkning</t>
        </is>
      </c>
      <c r="D104" s="1" t="n">
        <v>46077</v>
      </c>
      <c r="E104" s="1" t="n">
        <v>46291</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10452-2026</t>
        </is>
      </c>
      <c r="B105" t="inlineStr">
        <is>
          <t>avverkningsanmälan</t>
        </is>
      </c>
      <c r="C105" t="inlineStr">
        <is>
          <t>Föryngringsavverkning</t>
        </is>
      </c>
      <c r="D105" s="1" t="n">
        <v>46077</v>
      </c>
      <c r="E105" s="1" t="n">
        <v>46291</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10426-2026</t>
        </is>
      </c>
      <c r="B106" t="inlineStr">
        <is>
          <t>avverkningsanmälan</t>
        </is>
      </c>
      <c r="C106" t="inlineStr">
        <is>
          <t>Föryngringsavverkning</t>
        </is>
      </c>
      <c r="D106" s="1" t="n">
        <v>46077</v>
      </c>
      <c r="E106" s="1" t="n">
        <v>46291</v>
      </c>
      <c r="F106" t="inlineStr">
        <is>
          <t>STOCKHOLMS LÄN</t>
        </is>
      </c>
      <c r="G106" t="inlineStr">
        <is>
          <t>SÖDERTÄLJE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10450-2026</t>
        </is>
      </c>
      <c r="B107" t="inlineStr">
        <is>
          <t>avverkningsanmälan</t>
        </is>
      </c>
      <c r="C107" t="inlineStr">
        <is>
          <t>Föryngringsavverkning</t>
        </is>
      </c>
      <c r="D107" s="1" t="n">
        <v>46077</v>
      </c>
      <c r="E107" s="1" t="n">
        <v>46291</v>
      </c>
      <c r="F107" t="inlineStr">
        <is>
          <t>STOCKHOLMS LÄN</t>
        </is>
      </c>
      <c r="G107" t="inlineStr">
        <is>
          <t>SÖDERTÄLJE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10327-2026</t>
        </is>
      </c>
      <c r="B108" t="inlineStr">
        <is>
          <t>avverkningsanmälan</t>
        </is>
      </c>
      <c r="C108" t="inlineStr">
        <is>
          <t>Föryngringsavverkning</t>
        </is>
      </c>
      <c r="D108" s="1" t="n">
        <v>46076</v>
      </c>
      <c r="E108" s="1" t="n">
        <v>46291</v>
      </c>
      <c r="F108" t="inlineStr">
        <is>
          <t>STOCKHOLMS LÄN</t>
        </is>
      </c>
      <c r="G108" t="inlineStr">
        <is>
          <t>SÖDERTÄLJE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37536-2024</t>
        </is>
      </c>
      <c r="B109" t="inlineStr">
        <is>
          <t>avverkningsanmälan</t>
        </is>
      </c>
      <c r="C109" t="inlineStr">
        <is>
          <t>Föryngringsavverkning</t>
        </is>
      </c>
      <c r="D109" s="1" t="n">
        <v>45541</v>
      </c>
      <c r="E109" s="1" t="n">
        <v>46291</v>
      </c>
      <c r="F109" t="inlineStr">
        <is>
          <t>STOCKHOLMS LÄN</t>
        </is>
      </c>
      <c r="G109" t="inlineStr">
        <is>
          <t>SÖDERTÄLJE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48046-2025</t>
        </is>
      </c>
      <c r="B110" t="inlineStr">
        <is>
          <t>avverkningsanmälan</t>
        </is>
      </c>
      <c r="C110" t="inlineStr">
        <is>
          <t>Föryngringsavverkning</t>
        </is>
      </c>
      <c r="D110" s="1" t="n">
        <v>45932</v>
      </c>
      <c r="E110" s="1" t="n">
        <v>46291</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42339-2024</t>
        </is>
      </c>
      <c r="B111" t="inlineStr">
        <is>
          <t>avverkningsanmälan</t>
        </is>
      </c>
      <c r="C111" t="inlineStr">
        <is>
          <t>Avverkning för annat ändamål</t>
        </is>
      </c>
      <c r="D111" s="1" t="n">
        <v>45562</v>
      </c>
      <c r="E111" s="1" t="n">
        <v>46291</v>
      </c>
      <c r="F111" t="inlineStr">
        <is>
          <t>STOCKHOLMS LÄN</t>
        </is>
      </c>
      <c r="G111" t="inlineStr">
        <is>
          <t>SÖDERTÄLJE</t>
        </is>
      </c>
      <c r="H111" t="inlineStr">
        <is>
          <t>Övriga statliga verk och myndigheter</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12121-2026</t>
        </is>
      </c>
      <c r="B112" t="inlineStr">
        <is>
          <t>avverkningsanmälan</t>
        </is>
      </c>
      <c r="C112" t="inlineStr">
        <is>
          <t>Föryngringsavverkning</t>
        </is>
      </c>
      <c r="D112" s="1" t="n">
        <v>46086</v>
      </c>
      <c r="E112" s="1" t="n">
        <v>46291</v>
      </c>
      <c r="F112" t="inlineStr">
        <is>
          <t>STOCKHOLMS LÄN</t>
        </is>
      </c>
      <c r="G112" t="inlineStr">
        <is>
          <t>SÖDERTÄLJE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12116-2026</t>
        </is>
      </c>
      <c r="B113" t="inlineStr">
        <is>
          <t>avverkningsanmälan</t>
        </is>
      </c>
      <c r="C113" t="inlineStr">
        <is>
          <t>Föryngringsavverkning</t>
        </is>
      </c>
      <c r="D113" s="1" t="n">
        <v>46086</v>
      </c>
      <c r="E113" s="1" t="n">
        <v>46291</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2529-2023</t>
        </is>
      </c>
      <c r="B114" t="inlineStr">
        <is>
          <t>avverkningsanmälan</t>
        </is>
      </c>
      <c r="C114" t="inlineStr">
        <is>
          <t>Föryngringsavverkning</t>
        </is>
      </c>
      <c r="D114" s="1" t="n">
        <v>44943</v>
      </c>
      <c r="E114" s="1" t="n">
        <v>46291</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27970-2022</t>
        </is>
      </c>
      <c r="B115" t="inlineStr">
        <is>
          <t>avverkningsanmälan</t>
        </is>
      </c>
      <c r="C115" t="inlineStr">
        <is>
          <t>Föryngringsavverkning</t>
        </is>
      </c>
      <c r="D115" s="1" t="n">
        <v>44744</v>
      </c>
      <c r="E115" s="1" t="n">
        <v>46291</v>
      </c>
      <c r="F115" t="inlineStr">
        <is>
          <t>STOCKHOLMS LÄN</t>
        </is>
      </c>
      <c r="G115" t="inlineStr">
        <is>
          <t>SÖDERTÄLJE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13943-2026</t>
        </is>
      </c>
      <c r="B116" t="inlineStr">
        <is>
          <t>avverkningsanmälan</t>
        </is>
      </c>
      <c r="C116" t="inlineStr">
        <is>
          <t>Föryngringsavverkning</t>
        </is>
      </c>
      <c r="D116" s="1" t="n">
        <v>46098</v>
      </c>
      <c r="E116" s="1" t="n">
        <v>46291</v>
      </c>
      <c r="F116" t="inlineStr">
        <is>
          <t>STOCKHOLMS LÄN</t>
        </is>
      </c>
      <c r="G116" t="inlineStr">
        <is>
          <t>SÖDERTÄLJE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4443-2023</t>
        </is>
      </c>
      <c r="B117" t="inlineStr">
        <is>
          <t>avverkningsanmälan</t>
        </is>
      </c>
      <c r="C117" t="inlineStr">
        <is>
          <t>Föryngringsavverkning</t>
        </is>
      </c>
      <c r="D117" s="1" t="n">
        <v>44956</v>
      </c>
      <c r="E117" s="1" t="n">
        <v>46291</v>
      </c>
      <c r="F117" t="inlineStr">
        <is>
          <t>STOCKHOLMS LÄN</t>
        </is>
      </c>
      <c r="G117" t="inlineStr">
        <is>
          <t>SÖDERTÄLJE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27969-2022</t>
        </is>
      </c>
      <c r="B118" t="inlineStr">
        <is>
          <t>avverkningsanmälan</t>
        </is>
      </c>
      <c r="C118" t="inlineStr">
        <is>
          <t>Föryngringsavverkning</t>
        </is>
      </c>
      <c r="D118" s="1" t="n">
        <v>44744</v>
      </c>
      <c r="E118" s="1" t="n">
        <v>46291</v>
      </c>
      <c r="F118" t="inlineStr">
        <is>
          <t>STOCKHOLMS LÄN</t>
        </is>
      </c>
      <c r="G118" t="inlineStr">
        <is>
          <t>SÖDERTÄLJE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15964-2026</t>
        </is>
      </c>
      <c r="B119" t="inlineStr">
        <is>
          <t>avverkningsanmälan</t>
        </is>
      </c>
      <c r="C119" t="inlineStr">
        <is>
          <t>Föryngringsavverkning</t>
        </is>
      </c>
      <c r="D119" s="1" t="n">
        <v>46108</v>
      </c>
      <c r="E119" s="1" t="n">
        <v>46291</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46291</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46291</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1759-2025</t>
        </is>
      </c>
      <c r="B122" t="inlineStr">
        <is>
          <t>avverkningsanmälan</t>
        </is>
      </c>
      <c r="C122" t="inlineStr">
        <is>
          <t>Föryngringsavverkning</t>
        </is>
      </c>
      <c r="D122" s="1" t="n">
        <v>45671</v>
      </c>
      <c r="E122" s="1" t="n">
        <v>46291</v>
      </c>
      <c r="F122" t="inlineStr">
        <is>
          <t>STOCKHOLMS LÄN</t>
        </is>
      </c>
      <c r="G122" t="inlineStr">
        <is>
          <t>SÖDERTÄLJE</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1016-2022</t>
        </is>
      </c>
      <c r="B123" t="inlineStr">
        <is>
          <t>avverkningsanmälan</t>
        </is>
      </c>
      <c r="C123" t="inlineStr">
        <is>
          <t>Avverkning för annat ändamål</t>
        </is>
      </c>
      <c r="D123" s="1" t="n">
        <v>44571</v>
      </c>
      <c r="E123" s="1" t="n">
        <v>46291</v>
      </c>
      <c r="F123" t="inlineStr">
        <is>
          <t>STOCKHOLMS LÄN</t>
        </is>
      </c>
      <c r="G123" t="inlineStr">
        <is>
          <t>SÖDERTÄLJE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19078-2026</t>
        </is>
      </c>
      <c r="B124" t="inlineStr">
        <is>
          <t>avverkningsanmälan</t>
        </is>
      </c>
      <c r="C124" t="inlineStr">
        <is>
          <t>Föryngringsavverkning</t>
        </is>
      </c>
      <c r="D124" s="1" t="n">
        <v>46132</v>
      </c>
      <c r="E124" s="1" t="n">
        <v>46291</v>
      </c>
      <c r="F124" t="inlineStr">
        <is>
          <t>STOCKHOLMS LÄN</t>
        </is>
      </c>
      <c r="G124" t="inlineStr">
        <is>
          <t>SÖDERTÄLJE</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19071-2026</t>
        </is>
      </c>
      <c r="B125" t="inlineStr">
        <is>
          <t>avverkningsanmälan</t>
        </is>
      </c>
      <c r="C125" t="inlineStr">
        <is>
          <t>Föryngringsavverkning</t>
        </is>
      </c>
      <c r="D125" s="1" t="n">
        <v>46132</v>
      </c>
      <c r="E125" s="1" t="n">
        <v>46291</v>
      </c>
      <c r="F125" t="inlineStr">
        <is>
          <t>STOCKHOLMS LÄN</t>
        </is>
      </c>
      <c r="G125" t="inlineStr">
        <is>
          <t>SÖDERTÄLJE</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42133-2023</t>
        </is>
      </c>
      <c r="B126" t="inlineStr">
        <is>
          <t>avverkningsanmälan</t>
        </is>
      </c>
      <c r="C126" t="inlineStr">
        <is>
          <t>Föryngringsavverkning</t>
        </is>
      </c>
      <c r="D126" s="1" t="n">
        <v>45177</v>
      </c>
      <c r="E126" s="1" t="n">
        <v>46291</v>
      </c>
      <c r="F126" t="inlineStr">
        <is>
          <t>STOCKHOLMS LÄN</t>
        </is>
      </c>
      <c r="G126" t="inlineStr">
        <is>
          <t>SÖDERTÄLJE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37844-2022</t>
        </is>
      </c>
      <c r="B127" t="inlineStr">
        <is>
          <t>avverkningsanmälan</t>
        </is>
      </c>
      <c r="C127" t="inlineStr">
        <is>
          <t>Avverkning för annat ändamål</t>
        </is>
      </c>
      <c r="D127" s="1" t="n">
        <v>44810</v>
      </c>
      <c r="E127" s="1" t="n">
        <v>46291</v>
      </c>
      <c r="F127" t="inlineStr">
        <is>
          <t>STOCKHOLMS LÄN</t>
        </is>
      </c>
      <c r="G127" t="inlineStr">
        <is>
          <t>SÖDERTÄLJE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20596-2026</t>
        </is>
      </c>
      <c r="B128" t="inlineStr">
        <is>
          <t>avverkningsanmälan</t>
        </is>
      </c>
      <c r="C128" t="inlineStr">
        <is>
          <t>Föryngringsavverkning</t>
        </is>
      </c>
      <c r="D128" s="1" t="n">
        <v>46140</v>
      </c>
      <c r="E128" s="1" t="n">
        <v>46291</v>
      </c>
      <c r="F128" t="inlineStr">
        <is>
          <t>STOCKHOLMS LÄN</t>
        </is>
      </c>
      <c r="G128" t="inlineStr">
        <is>
          <t>SÖDERTÄLJE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56354-2023</t>
        </is>
      </c>
      <c r="B129" t="inlineStr">
        <is>
          <t>avverkningsanmälan</t>
        </is>
      </c>
      <c r="C129" t="inlineStr">
        <is>
          <t>Föryngringsavverkning</t>
        </is>
      </c>
      <c r="D129" s="1" t="n">
        <v>45243</v>
      </c>
      <c r="E129" s="1" t="n">
        <v>46291</v>
      </c>
      <c r="F129" t="inlineStr">
        <is>
          <t>STOCKHOLMS LÄN</t>
        </is>
      </c>
      <c r="G129" t="inlineStr">
        <is>
          <t>SÖDERTÄLJE</t>
        </is>
      </c>
      <c r="I129" t="n">
        <v>11.4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46291</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20582-2026</t>
        </is>
      </c>
      <c r="B131" t="inlineStr">
        <is>
          <t>avverkningsanmälan</t>
        </is>
      </c>
      <c r="C131" t="inlineStr">
        <is>
          <t>Föryngringsavverkning</t>
        </is>
      </c>
      <c r="D131" s="1" t="n">
        <v>46140</v>
      </c>
      <c r="E131" s="1" t="n">
        <v>46291</v>
      </c>
      <c r="F131" t="inlineStr">
        <is>
          <t>STOCKHOLMS LÄN</t>
        </is>
      </c>
      <c r="G131" t="inlineStr">
        <is>
          <t>SÖDERTÄLJE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25415-2025</t>
        </is>
      </c>
      <c r="B132" t="inlineStr">
        <is>
          <t>avverkningsanmälan</t>
        </is>
      </c>
      <c r="C132" t="inlineStr">
        <is>
          <t>Föryngringsavverkning</t>
        </is>
      </c>
      <c r="D132" s="1" t="n">
        <v>45799</v>
      </c>
      <c r="E132" s="1" t="n">
        <v>46291</v>
      </c>
      <c r="F132" t="inlineStr">
        <is>
          <t>STOCKHOLMS LÄN</t>
        </is>
      </c>
      <c r="G132" t="inlineStr">
        <is>
          <t>SÖDERTÄLJE</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62049-2025</t>
        </is>
      </c>
      <c r="B133" t="inlineStr">
        <is>
          <t>avverkningsanmälan</t>
        </is>
      </c>
      <c r="C133" t="inlineStr">
        <is>
          <t>Föryngringsavverkning</t>
        </is>
      </c>
      <c r="D133" s="1" t="n">
        <v>46006</v>
      </c>
      <c r="E133" s="1" t="n">
        <v>46291</v>
      </c>
      <c r="F133" t="inlineStr">
        <is>
          <t>STOCKHOLMS LÄN</t>
        </is>
      </c>
      <c r="G133" t="inlineStr">
        <is>
          <t>SÖDERTÄLJE</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46291</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1381-2023</t>
        </is>
      </c>
      <c r="B135" t="inlineStr">
        <is>
          <t>avverkningsanmälan</t>
        </is>
      </c>
      <c r="C135" t="inlineStr">
        <is>
          <t>Föryngringsavverkning</t>
        </is>
      </c>
      <c r="D135" s="1" t="n">
        <v>44936</v>
      </c>
      <c r="E135" s="1" t="n">
        <v>46291</v>
      </c>
      <c r="F135" t="inlineStr">
        <is>
          <t>STOCKHOLMS LÄN</t>
        </is>
      </c>
      <c r="G135" t="inlineStr">
        <is>
          <t>SÖDERTÄLJE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20603-2026</t>
        </is>
      </c>
      <c r="B136" t="inlineStr">
        <is>
          <t>avverkningsanmälan</t>
        </is>
      </c>
      <c r="C136" t="inlineStr">
        <is>
          <t>Föryngringsavverkning</t>
        </is>
      </c>
      <c r="D136" s="1" t="n">
        <v>46140</v>
      </c>
      <c r="E136" s="1" t="n">
        <v>46291</v>
      </c>
      <c r="F136" t="inlineStr">
        <is>
          <t>STOCKHOLMS LÄN</t>
        </is>
      </c>
      <c r="G136" t="inlineStr">
        <is>
          <t>SÖDERTÄLJE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34193-2024</t>
        </is>
      </c>
      <c r="B137" t="inlineStr">
        <is>
          <t>avverkningsanmälan</t>
        </is>
      </c>
      <c r="C137" t="inlineStr">
        <is>
          <t>Föryngringsavverkning</t>
        </is>
      </c>
      <c r="D137" s="1" t="n">
        <v>45524</v>
      </c>
      <c r="E137" s="1" t="n">
        <v>46291</v>
      </c>
      <c r="F137" t="inlineStr">
        <is>
          <t>STOCKHOLMS LÄN</t>
        </is>
      </c>
      <c r="G137" t="inlineStr">
        <is>
          <t>SÖDERTÄLJE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20579-2026</t>
        </is>
      </c>
      <c r="B138" t="inlineStr">
        <is>
          <t>avverkningsanmälan</t>
        </is>
      </c>
      <c r="C138" t="inlineStr">
        <is>
          <t>Föryngringsavverkning</t>
        </is>
      </c>
      <c r="D138" s="1" t="n">
        <v>46140</v>
      </c>
      <c r="E138" s="1" t="n">
        <v>46291</v>
      </c>
      <c r="F138" t="inlineStr">
        <is>
          <t>STOCKHOLMS LÄN</t>
        </is>
      </c>
      <c r="G138" t="inlineStr">
        <is>
          <t>SÖDERTÄLJE</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20591-2026</t>
        </is>
      </c>
      <c r="B139" t="inlineStr">
        <is>
          <t>avverkningsanmälan</t>
        </is>
      </c>
      <c r="C139" t="inlineStr">
        <is>
          <t>Föryngringsavverkning</t>
        </is>
      </c>
      <c r="D139" s="1" t="n">
        <v>46140</v>
      </c>
      <c r="E139" s="1" t="n">
        <v>46291</v>
      </c>
      <c r="F139" t="inlineStr">
        <is>
          <t>STOCKHOLMS LÄN</t>
        </is>
      </c>
      <c r="G139" t="inlineStr">
        <is>
          <t>SÖDERTÄLJE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25412-2025</t>
        </is>
      </c>
      <c r="B140" t="inlineStr">
        <is>
          <t>avverkningsanmälan</t>
        </is>
      </c>
      <c r="C140" t="inlineStr">
        <is>
          <t>Föryngringsavverkning</t>
        </is>
      </c>
      <c r="D140" s="1" t="n">
        <v>45799</v>
      </c>
      <c r="E140" s="1" t="n">
        <v>46291</v>
      </c>
      <c r="F140" t="inlineStr">
        <is>
          <t>STOCKHOLMS LÄN</t>
        </is>
      </c>
      <c r="G140" t="inlineStr">
        <is>
          <t>SÖDERTÄLJE</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21483-2026</t>
        </is>
      </c>
      <c r="B141" t="inlineStr">
        <is>
          <t>avverkningsanmälan</t>
        </is>
      </c>
      <c r="C141" t="inlineStr">
        <is>
          <t>Avverkning för annat ändamål</t>
        </is>
      </c>
      <c r="D141" s="1" t="n">
        <v>46148</v>
      </c>
      <c r="E141" s="1" t="n">
        <v>46291</v>
      </c>
      <c r="F141" t="inlineStr">
        <is>
          <t>STOCKHOLMS LÄN</t>
        </is>
      </c>
      <c r="G141" t="inlineStr">
        <is>
          <t>SÖDERTÄLJE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6886-2022</t>
        </is>
      </c>
      <c r="B142" t="inlineStr">
        <is>
          <t>avverkningsanmälan</t>
        </is>
      </c>
      <c r="C142" t="inlineStr">
        <is>
          <t>Föryngringsavverkning</t>
        </is>
      </c>
      <c r="D142" s="1" t="n">
        <v>44602</v>
      </c>
      <c r="E142" s="1" t="n">
        <v>46291</v>
      </c>
      <c r="F142" t="inlineStr">
        <is>
          <t>STOCKHOLMS LÄN</t>
        </is>
      </c>
      <c r="G142" t="inlineStr">
        <is>
          <t>SÖDERTÄLJE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487-2024</t>
        </is>
      </c>
      <c r="B143" t="inlineStr">
        <is>
          <t>avverkningsanmälan</t>
        </is>
      </c>
      <c r="C143" t="inlineStr">
        <is>
          <t>Föryngringsavverkning</t>
        </is>
      </c>
      <c r="D143" s="1" t="n">
        <v>45298</v>
      </c>
      <c r="E143" s="1" t="n">
        <v>46291</v>
      </c>
      <c r="F143" t="inlineStr">
        <is>
          <t>STOCKHOLMS LÄN</t>
        </is>
      </c>
      <c r="G143" t="inlineStr">
        <is>
          <t>SÖDERTÄLJE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57884-2021</t>
        </is>
      </c>
      <c r="B144" t="inlineStr">
        <is>
          <t>avverkningsanmälan</t>
        </is>
      </c>
      <c r="C144" t="inlineStr">
        <is>
          <t>Föryngringsavverkning</t>
        </is>
      </c>
      <c r="D144" s="1" t="n">
        <v>44485</v>
      </c>
      <c r="E144" s="1" t="n">
        <v>46291</v>
      </c>
      <c r="F144" t="inlineStr">
        <is>
          <t>STOCKHOLMS LÄN</t>
        </is>
      </c>
      <c r="G144" t="inlineStr">
        <is>
          <t>SÖDERTÄLJE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28981-2023</t>
        </is>
      </c>
      <c r="B145" t="inlineStr">
        <is>
          <t>avverkningsanmälan</t>
        </is>
      </c>
      <c r="C145" t="inlineStr">
        <is>
          <t>Föryngringsavverkning</t>
        </is>
      </c>
      <c r="D145" s="1" t="n">
        <v>45104</v>
      </c>
      <c r="E145" s="1" t="n">
        <v>46291</v>
      </c>
      <c r="F145" t="inlineStr">
        <is>
          <t>STOCKHOLMS LÄN</t>
        </is>
      </c>
      <c r="G145" t="inlineStr">
        <is>
          <t>SÖDERTÄLJE</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10446-2026</t>
        </is>
      </c>
      <c r="B146" t="inlineStr">
        <is>
          <t>avverkningsanmälan</t>
        </is>
      </c>
      <c r="C146" t="inlineStr">
        <is>
          <t>Föryngringsavverkning</t>
        </is>
      </c>
      <c r="D146" s="1" t="n">
        <v>46077</v>
      </c>
      <c r="E146" s="1" t="n">
        <v>46291</v>
      </c>
      <c r="F146" t="inlineStr">
        <is>
          <t>STOCKHOLMS LÄN</t>
        </is>
      </c>
      <c r="G146" t="inlineStr">
        <is>
          <t>SÖDERTÄLJE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23632-2026</t>
        </is>
      </c>
      <c r="B147" t="inlineStr">
        <is>
          <t>avverkningsanmälan</t>
        </is>
      </c>
      <c r="C147" t="inlineStr">
        <is>
          <t>Föryngringsavverkning</t>
        </is>
      </c>
      <c r="D147" s="1" t="n">
        <v>46163</v>
      </c>
      <c r="E147" s="1" t="n">
        <v>46291</v>
      </c>
      <c r="F147" t="inlineStr">
        <is>
          <t>STOCKHOLMS LÄN</t>
        </is>
      </c>
      <c r="G147" t="inlineStr">
        <is>
          <t>SÖDERTÄLJE</t>
        </is>
      </c>
      <c r="H147" t="inlineStr">
        <is>
          <t>Kyrkan</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11343-2025</t>
        </is>
      </c>
      <c r="B148" t="inlineStr">
        <is>
          <t>avverkningsanmälan</t>
        </is>
      </c>
      <c r="C148" t="inlineStr">
        <is>
          <t>Föryngringsavverkning</t>
        </is>
      </c>
      <c r="D148" s="1" t="n">
        <v>45726</v>
      </c>
      <c r="E148" s="1" t="n">
        <v>46291</v>
      </c>
      <c r="F148" t="inlineStr">
        <is>
          <t>STOCKHOLMS LÄN</t>
        </is>
      </c>
      <c r="G148" t="inlineStr">
        <is>
          <t>SÖDERTÄLJE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24034-2022</t>
        </is>
      </c>
      <c r="B149" t="inlineStr">
        <is>
          <t>avverkningsanmälan</t>
        </is>
      </c>
      <c r="C149" t="inlineStr">
        <is>
          <t>Föryngringsavverkning</t>
        </is>
      </c>
      <c r="D149" s="1" t="n">
        <v>44724</v>
      </c>
      <c r="E149" s="1" t="n">
        <v>46291</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1150-2026</t>
        </is>
      </c>
      <c r="B150" t="inlineStr">
        <is>
          <t>avverkningsanmälan</t>
        </is>
      </c>
      <c r="C150" t="inlineStr">
        <is>
          <t>Föryngringsavverkning</t>
        </is>
      </c>
      <c r="D150" s="1" t="n">
        <v>46030</v>
      </c>
      <c r="E150" s="1" t="n">
        <v>46291</v>
      </c>
      <c r="F150" t="inlineStr">
        <is>
          <t>STOCKHOLMS LÄN</t>
        </is>
      </c>
      <c r="G150" t="inlineStr">
        <is>
          <t>SÖDERTÄLJE</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25288-2026</t>
        </is>
      </c>
      <c r="B151" t="inlineStr">
        <is>
          <t>avverkningsanmälan</t>
        </is>
      </c>
      <c r="C151" t="inlineStr">
        <is>
          <t>Föryngringsavverkning</t>
        </is>
      </c>
      <c r="D151" s="1" t="n">
        <v>46176</v>
      </c>
      <c r="E151" s="1" t="n">
        <v>46291</v>
      </c>
      <c r="F151" t="inlineStr">
        <is>
          <t>STOCKHOLMS LÄN</t>
        </is>
      </c>
      <c r="G151" t="inlineStr">
        <is>
          <t>SÖDERTÄLJE</t>
        </is>
      </c>
      <c r="H151" t="inlineStr">
        <is>
          <t>Kommuner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41111-2023</t>
        </is>
      </c>
      <c r="B152" t="inlineStr">
        <is>
          <t>avverkningsanmälan</t>
        </is>
      </c>
      <c r="C152" t="inlineStr">
        <is>
          <t>Föryngringsavverkning</t>
        </is>
      </c>
      <c r="D152" s="1" t="n">
        <v>45173</v>
      </c>
      <c r="E152" s="1" t="n">
        <v>46291</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41115-2023</t>
        </is>
      </c>
      <c r="B153" t="inlineStr">
        <is>
          <t>avverkningsanmälan</t>
        </is>
      </c>
      <c r="C153" t="inlineStr">
        <is>
          <t>Föryngringsavverkning</t>
        </is>
      </c>
      <c r="D153" s="1" t="n">
        <v>45173</v>
      </c>
      <c r="E153" s="1" t="n">
        <v>46291</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27006-2026</t>
        </is>
      </c>
      <c r="B154" t="inlineStr">
        <is>
          <t>avverkningsanmälan</t>
        </is>
      </c>
      <c r="C154" t="inlineStr">
        <is>
          <t>Avverkning för annat ändamål</t>
        </is>
      </c>
      <c r="D154" s="1" t="n">
        <v>46185</v>
      </c>
      <c r="E154" s="1" t="n">
        <v>46291</v>
      </c>
      <c r="F154" t="inlineStr">
        <is>
          <t>STOCKHOLMS LÄN</t>
        </is>
      </c>
      <c r="G154" t="inlineStr">
        <is>
          <t>SÖDERTÄLJE</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27257-2026</t>
        </is>
      </c>
      <c r="B155" t="inlineStr">
        <is>
          <t>avverkningsanmälan</t>
        </is>
      </c>
      <c r="C155" t="inlineStr">
        <is>
          <t>Föryngringsavverkning</t>
        </is>
      </c>
      <c r="D155" s="1" t="n">
        <v>46188</v>
      </c>
      <c r="E155" s="1" t="n">
        <v>46291</v>
      </c>
      <c r="F155" t="inlineStr">
        <is>
          <t>STOCKHOLMS LÄN</t>
        </is>
      </c>
      <c r="G155" t="inlineStr">
        <is>
          <t>SÖDERTÄLJE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3585-2022</t>
        </is>
      </c>
      <c r="B156" t="inlineStr">
        <is>
          <t>avverkningsanmälan</t>
        </is>
      </c>
      <c r="C156" t="inlineStr">
        <is>
          <t>Föryngringsavverkning</t>
        </is>
      </c>
      <c r="D156" s="1" t="n">
        <v>44586</v>
      </c>
      <c r="E156" s="1" t="n">
        <v>46291</v>
      </c>
      <c r="F156" t="inlineStr">
        <is>
          <t>STOCKHOLMS LÄN</t>
        </is>
      </c>
      <c r="G156" t="inlineStr">
        <is>
          <t>SÖDERTÄLJE</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12907-2024</t>
        </is>
      </c>
      <c r="B157" t="inlineStr">
        <is>
          <t>avverkningsanmälan</t>
        </is>
      </c>
      <c r="C157" t="inlineStr">
        <is>
          <t>Föryngringsavverkning</t>
        </is>
      </c>
      <c r="D157" s="1" t="n">
        <v>45385</v>
      </c>
      <c r="E157" s="1" t="n">
        <v>46291</v>
      </c>
      <c r="F157" t="inlineStr">
        <is>
          <t>STOCKHOLMS LÄN</t>
        </is>
      </c>
      <c r="G157" t="inlineStr">
        <is>
          <t>SÖDERTÄLJE</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28175-2026</t>
        </is>
      </c>
      <c r="B158" t="inlineStr">
        <is>
          <t>avverkningsanmälan</t>
        </is>
      </c>
      <c r="C158" t="inlineStr">
        <is>
          <t>Avverkning för annat ändamål</t>
        </is>
      </c>
      <c r="D158" s="1" t="n">
        <v>46195</v>
      </c>
      <c r="E158" s="1" t="n">
        <v>46291</v>
      </c>
      <c r="F158" t="inlineStr">
        <is>
          <t>STOCKHOLMS LÄN</t>
        </is>
      </c>
      <c r="G158" t="inlineStr">
        <is>
          <t>SÖDERTÄLJE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55940-2023</t>
        </is>
      </c>
      <c r="B159" t="inlineStr">
        <is>
          <t>avverkningsanmälan</t>
        </is>
      </c>
      <c r="C159" t="inlineStr">
        <is>
          <t>Föryngringsavverkning</t>
        </is>
      </c>
      <c r="D159" s="1" t="n">
        <v>45240</v>
      </c>
      <c r="E159" s="1" t="n">
        <v>46291</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58140-2023</t>
        </is>
      </c>
      <c r="B160" t="inlineStr">
        <is>
          <t>avverkningsanmälan</t>
        </is>
      </c>
      <c r="C160" t="inlineStr">
        <is>
          <t>Avverkning för annat ändamål</t>
        </is>
      </c>
      <c r="D160" s="1" t="n">
        <v>45250</v>
      </c>
      <c r="E160" s="1" t="n">
        <v>46291</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26812-2022</t>
        </is>
      </c>
      <c r="B161" t="inlineStr">
        <is>
          <t>avverkningsanmälan</t>
        </is>
      </c>
      <c r="C161" t="inlineStr">
        <is>
          <t>Föryngringsavverkning</t>
        </is>
      </c>
      <c r="D161" s="1" t="n">
        <v>44740</v>
      </c>
      <c r="E161" s="1" t="n">
        <v>46291</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62311-2023</t>
        </is>
      </c>
      <c r="B162" t="inlineStr">
        <is>
          <t>avverkningsanmälan</t>
        </is>
      </c>
      <c r="C162" t="inlineStr">
        <is>
          <t>Föryngringsavverkning</t>
        </is>
      </c>
      <c r="D162" s="1" t="n">
        <v>45266</v>
      </c>
      <c r="E162" s="1" t="n">
        <v>46291</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3383-2024</t>
        </is>
      </c>
      <c r="B163" t="inlineStr">
        <is>
          <t>avverkningsanmälan</t>
        </is>
      </c>
      <c r="C163" t="inlineStr">
        <is>
          <t>Avverkning för att bevara och utveckla /försöksver</t>
        </is>
      </c>
      <c r="D163" s="1" t="n">
        <v>45317</v>
      </c>
      <c r="E163" s="1" t="n">
        <v>46291</v>
      </c>
      <c r="F163" t="inlineStr">
        <is>
          <t>STOCKHOLMS LÄN</t>
        </is>
      </c>
      <c r="G163" t="inlineStr">
        <is>
          <t>SÖDERTÄLJE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35942-2022</t>
        </is>
      </c>
      <c r="B164" t="inlineStr">
        <is>
          <t>avverkningsanmälan</t>
        </is>
      </c>
      <c r="C164" t="inlineStr">
        <is>
          <t>Avverkning för annat ändamål</t>
        </is>
      </c>
      <c r="D164" s="1" t="n">
        <v>44802</v>
      </c>
      <c r="E164" s="1" t="n">
        <v>46291</v>
      </c>
      <c r="F164" t="inlineStr">
        <is>
          <t>STOCKHOLMS LÄN</t>
        </is>
      </c>
      <c r="G164" t="inlineStr">
        <is>
          <t>SÖDERTÄLJE</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92-2024</t>
        </is>
      </c>
      <c r="B165" t="inlineStr">
        <is>
          <t>avverkningsanmälan</t>
        </is>
      </c>
      <c r="C165" t="inlineStr">
        <is>
          <t>Föryngringsavverkning</t>
        </is>
      </c>
      <c r="D165" s="1" t="n">
        <v>45293</v>
      </c>
      <c r="E165" s="1" t="n">
        <v>46291</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20530-2024</t>
        </is>
      </c>
      <c r="B166" t="inlineStr">
        <is>
          <t>avverkningsanmälan</t>
        </is>
      </c>
      <c r="C166" t="inlineStr">
        <is>
          <t>Avverkning för annat ändamål</t>
        </is>
      </c>
      <c r="D166" s="1" t="n">
        <v>45435</v>
      </c>
      <c r="E166" s="1" t="n">
        <v>46291</v>
      </c>
      <c r="F166" t="inlineStr">
        <is>
          <t>STOCKHOLMS LÄN</t>
        </is>
      </c>
      <c r="G166" t="inlineStr">
        <is>
          <t>SÖDERTÄLJE</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36938-2026</t>
        </is>
      </c>
      <c r="B167" t="inlineStr">
        <is>
          <t>avverkningsanmälan</t>
        </is>
      </c>
      <c r="C167" t="inlineStr">
        <is>
          <t>Föryngringsavverkning</t>
        </is>
      </c>
      <c r="D167" s="1" t="n">
        <v>46273</v>
      </c>
      <c r="E167" s="1" t="n">
        <v>46291</v>
      </c>
      <c r="F167" t="inlineStr">
        <is>
          <t>STOCKHOLMS LÄN</t>
        </is>
      </c>
      <c r="G167" t="inlineStr">
        <is>
          <t>SÖDERTÄLJE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32518-2026</t>
        </is>
      </c>
      <c r="B168" t="inlineStr">
        <is>
          <t>avverkningsanmälan</t>
        </is>
      </c>
      <c r="C168" t="inlineStr">
        <is>
          <t>Föryngringsavverkning</t>
        </is>
      </c>
      <c r="D168" s="1" t="n">
        <v>46239</v>
      </c>
      <c r="E168" s="1" t="n">
        <v>46291</v>
      </c>
      <c r="F168" t="inlineStr">
        <is>
          <t>STOCKHOLMS LÄN</t>
        </is>
      </c>
      <c r="G168" t="inlineStr">
        <is>
          <t>SÖDERTÄLJE</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35918-2022</t>
        </is>
      </c>
      <c r="B169" t="inlineStr">
        <is>
          <t>avverkningsanmälan</t>
        </is>
      </c>
      <c r="C169" t="inlineStr">
        <is>
          <t>Avverkning för annat ändamål</t>
        </is>
      </c>
      <c r="D169" s="1" t="n">
        <v>44802</v>
      </c>
      <c r="E169" s="1" t="n">
        <v>46291</v>
      </c>
      <c r="F169" t="inlineStr">
        <is>
          <t>STOCKHOLMS LÄN</t>
        </is>
      </c>
      <c r="G169" t="inlineStr">
        <is>
          <t>SÖDERTÄLJE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48820-2022</t>
        </is>
      </c>
      <c r="B170" t="inlineStr">
        <is>
          <t>avverkningsanmälan</t>
        </is>
      </c>
      <c r="C170" t="inlineStr">
        <is>
          <t>Föryngringsavverkning</t>
        </is>
      </c>
      <c r="D170" s="1" t="n">
        <v>44859</v>
      </c>
      <c r="E170" s="1" t="n">
        <v>46291</v>
      </c>
      <c r="F170" t="inlineStr">
        <is>
          <t>STOCKHOLMS LÄN</t>
        </is>
      </c>
      <c r="G170" t="inlineStr">
        <is>
          <t>SÖDERTÄLJE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42337-2024</t>
        </is>
      </c>
      <c r="B171" t="inlineStr">
        <is>
          <t>avverkningsanmälan</t>
        </is>
      </c>
      <c r="C171" t="inlineStr">
        <is>
          <t>Föryngringsavverkning</t>
        </is>
      </c>
      <c r="D171" s="1" t="n">
        <v>45562</v>
      </c>
      <c r="E171" s="1" t="n">
        <v>46291</v>
      </c>
      <c r="F171" t="inlineStr">
        <is>
          <t>STOCKHOLMS LÄN</t>
        </is>
      </c>
      <c r="G171" t="inlineStr">
        <is>
          <t>SÖDERTÄLJE</t>
        </is>
      </c>
      <c r="H171" t="inlineStr">
        <is>
          <t>Övriga statliga verk och myndigheter</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35906-2022</t>
        </is>
      </c>
      <c r="B172" t="inlineStr">
        <is>
          <t>avverkningsanmälan</t>
        </is>
      </c>
      <c r="C172" t="inlineStr">
        <is>
          <t>Avverkning för annat ändamål</t>
        </is>
      </c>
      <c r="D172" s="1" t="n">
        <v>44802</v>
      </c>
      <c r="E172" s="1" t="n">
        <v>46291</v>
      </c>
      <c r="F172" t="inlineStr">
        <is>
          <t>STOCKHOLMS LÄN</t>
        </is>
      </c>
      <c r="G172" t="inlineStr">
        <is>
          <t>SÖDERTÄLJE</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11319-2024</t>
        </is>
      </c>
      <c r="B173" t="inlineStr">
        <is>
          <t>avverkningsanmälan</t>
        </is>
      </c>
      <c r="C173" t="inlineStr">
        <is>
          <t>Föryngringsavverkning</t>
        </is>
      </c>
      <c r="D173" s="1" t="n">
        <v>45371</v>
      </c>
      <c r="E173" s="1" t="n">
        <v>46291</v>
      </c>
      <c r="F173" t="inlineStr">
        <is>
          <t>STOCKHOLMS LÄN</t>
        </is>
      </c>
      <c r="G173" t="inlineStr">
        <is>
          <t>SÖDERTÄLJE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54596-2024</t>
        </is>
      </c>
      <c r="B174" t="inlineStr">
        <is>
          <t>avverkningsanmälan</t>
        </is>
      </c>
      <c r="C174" t="inlineStr">
        <is>
          <t>Föryngringsavverkning</t>
        </is>
      </c>
      <c r="D174" s="1" t="n">
        <v>45617</v>
      </c>
      <c r="E174" s="1" t="n">
        <v>46291</v>
      </c>
      <c r="F174" t="inlineStr">
        <is>
          <t>STOCKHOLMS LÄN</t>
        </is>
      </c>
      <c r="G174" t="inlineStr">
        <is>
          <t>SÖDERTÄLJE</t>
        </is>
      </c>
      <c r="I174" t="n">
        <v>9.5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28982-2024</t>
        </is>
      </c>
      <c r="B175" t="inlineStr">
        <is>
          <t>avverkningsanmälan</t>
        </is>
      </c>
      <c r="C175" t="inlineStr">
        <is>
          <t>Avverkning för annat ändamål</t>
        </is>
      </c>
      <c r="D175" s="1" t="n">
        <v>45481</v>
      </c>
      <c r="E175" s="1" t="n">
        <v>46291</v>
      </c>
      <c r="F175" t="inlineStr">
        <is>
          <t>STOCKHOLMS LÄN</t>
        </is>
      </c>
      <c r="G175" t="inlineStr">
        <is>
          <t>SÖDERTÄLJE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52101-2022</t>
        </is>
      </c>
      <c r="B176" t="inlineStr">
        <is>
          <t>avverkningsanmälan</t>
        </is>
      </c>
      <c r="C176" t="inlineStr">
        <is>
          <t>Avverkning för annat ändamål</t>
        </is>
      </c>
      <c r="D176" s="1" t="n">
        <v>44873</v>
      </c>
      <c r="E176" s="1" t="n">
        <v>46291</v>
      </c>
      <c r="F176" t="inlineStr">
        <is>
          <t>STOCKHOLMS LÄN</t>
        </is>
      </c>
      <c r="G176" t="inlineStr">
        <is>
          <t>SÖDERTÄLJE</t>
        </is>
      </c>
      <c r="H176" t="inlineStr">
        <is>
          <t>Kommuner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35200-2023</t>
        </is>
      </c>
      <c r="B177" t="inlineStr">
        <is>
          <t>avverkningsanmälan</t>
        </is>
      </c>
      <c r="C177" t="inlineStr">
        <is>
          <t>Föryngringsavverkning</t>
        </is>
      </c>
      <c r="D177" s="1" t="n">
        <v>45145</v>
      </c>
      <c r="E177" s="1" t="n">
        <v>46291</v>
      </c>
      <c r="F177" t="inlineStr">
        <is>
          <t>STOCKHOLMS LÄN</t>
        </is>
      </c>
      <c r="G177" t="inlineStr">
        <is>
          <t>SÖDERTÄLJE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25706-2023</t>
        </is>
      </c>
      <c r="B178" t="inlineStr">
        <is>
          <t>avverkningsanmälan</t>
        </is>
      </c>
      <c r="C178" t="inlineStr">
        <is>
          <t>Föryngringsavverkning</t>
        </is>
      </c>
      <c r="D178" s="1" t="n">
        <v>45090</v>
      </c>
      <c r="E178" s="1" t="n">
        <v>46291</v>
      </c>
      <c r="F178" t="inlineStr">
        <is>
          <t>STOCKHOLMS LÄN</t>
        </is>
      </c>
      <c r="G178" t="inlineStr">
        <is>
          <t>SÖDERTÄLJE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34194-2024</t>
        </is>
      </c>
      <c r="B179" t="inlineStr">
        <is>
          <t>avverkningsanmälan</t>
        </is>
      </c>
      <c r="C179" t="inlineStr">
        <is>
          <t>Föryngringsavverkning</t>
        </is>
      </c>
      <c r="D179" s="1" t="n">
        <v>45524</v>
      </c>
      <c r="E179" s="1" t="n">
        <v>46291</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47576-2023</t>
        </is>
      </c>
      <c r="B180" t="inlineStr">
        <is>
          <t>avverkningsanmälan</t>
        </is>
      </c>
      <c r="C180" t="inlineStr">
        <is>
          <t>Föryngringsavverkning</t>
        </is>
      </c>
      <c r="D180" s="1" t="n">
        <v>45197</v>
      </c>
      <c r="E180" s="1" t="n">
        <v>46291</v>
      </c>
      <c r="F180" t="inlineStr">
        <is>
          <t>STOCKHOLMS LÄN</t>
        </is>
      </c>
      <c r="G180" t="inlineStr">
        <is>
          <t>SÖDERTÄLJE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46291</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954-2023</t>
        </is>
      </c>
      <c r="B182" t="inlineStr">
        <is>
          <t>avverkningsanmälan</t>
        </is>
      </c>
      <c r="C182" t="inlineStr">
        <is>
          <t>Föryngringsavverkning</t>
        </is>
      </c>
      <c r="D182" s="1" t="n">
        <v>44934</v>
      </c>
      <c r="E182" s="1" t="n">
        <v>46291</v>
      </c>
      <c r="F182" t="inlineStr">
        <is>
          <t>STOCKHOLMS LÄN</t>
        </is>
      </c>
      <c r="G182" t="inlineStr">
        <is>
          <t>SÖDERTÄLJE</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46291</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22-2024</t>
        </is>
      </c>
      <c r="B184" t="inlineStr">
        <is>
          <t>avverkningsanmälan</t>
        </is>
      </c>
      <c r="C184" t="inlineStr">
        <is>
          <t>Föryngringsavverkning</t>
        </is>
      </c>
      <c r="D184" s="1" t="n">
        <v>45293</v>
      </c>
      <c r="E184" s="1" t="n">
        <v>46291</v>
      </c>
      <c r="F184" t="inlineStr">
        <is>
          <t>STOCKHOLMS LÄN</t>
        </is>
      </c>
      <c r="G184" t="inlineStr">
        <is>
          <t>SÖDERTÄLJE</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46291</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46291</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17979-2024</t>
        </is>
      </c>
      <c r="B187" t="inlineStr">
        <is>
          <t>avverkningsanmälan</t>
        </is>
      </c>
      <c r="C187" t="inlineStr">
        <is>
          <t>Föryngringsavverkning</t>
        </is>
      </c>
      <c r="D187" s="1" t="n">
        <v>45419</v>
      </c>
      <c r="E187" s="1" t="n">
        <v>46291</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47977-2022</t>
        </is>
      </c>
      <c r="B188" t="inlineStr">
        <is>
          <t>avverkningsanmälan</t>
        </is>
      </c>
      <c r="C188" t="inlineStr">
        <is>
          <t>Föryngringsavverkning</t>
        </is>
      </c>
      <c r="D188" s="1" t="n">
        <v>44855</v>
      </c>
      <c r="E188" s="1" t="n">
        <v>46291</v>
      </c>
      <c r="F188" t="inlineStr">
        <is>
          <t>STOCKHOLMS LÄN</t>
        </is>
      </c>
      <c r="G188" t="inlineStr">
        <is>
          <t>SÖDERTÄLJE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19210-2024</t>
        </is>
      </c>
      <c r="B189" t="inlineStr">
        <is>
          <t>avverkningsanmälan</t>
        </is>
      </c>
      <c r="C189" t="inlineStr">
        <is>
          <t>Avverkning för att bevara och utveckla /försöksver</t>
        </is>
      </c>
      <c r="D189" s="1" t="n">
        <v>45428</v>
      </c>
      <c r="E189" s="1" t="n">
        <v>46291</v>
      </c>
      <c r="F189" t="inlineStr">
        <is>
          <t>STOCKHOLMS LÄN</t>
        </is>
      </c>
      <c r="G189" t="inlineStr">
        <is>
          <t>SÖDERTÄLJE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46291</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6029-2022</t>
        </is>
      </c>
      <c r="B191" t="inlineStr">
        <is>
          <t>samrådsanmälan</t>
        </is>
      </c>
      <c r="C191" t="inlineStr">
        <is>
          <t>Annan skogsbruksåtgärd</t>
        </is>
      </c>
      <c r="D191" s="1" t="n">
        <v>44859</v>
      </c>
      <c r="E191" s="1" t="n">
        <v>46291</v>
      </c>
      <c r="F191" t="inlineStr">
        <is>
          <t>STOCKHOLMS LÄN</t>
        </is>
      </c>
      <c r="G191" t="inlineStr">
        <is>
          <t>SÖDERTÄLJE</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1081-2024</t>
        </is>
      </c>
      <c r="B192" t="inlineStr">
        <is>
          <t>samrådsanmälan</t>
        </is>
      </c>
      <c r="C192" t="inlineStr">
        <is>
          <t>Annan skogsbruksåtgärd</t>
        </is>
      </c>
      <c r="D192" s="1" t="n">
        <v>45390</v>
      </c>
      <c r="E192" s="1" t="n">
        <v>46291</v>
      </c>
      <c r="F192" t="inlineStr">
        <is>
          <t>STOCKHOLMS LÄN</t>
        </is>
      </c>
      <c r="G192" t="inlineStr">
        <is>
          <t>SÖDERTÄLJE</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3931-2024</t>
        </is>
      </c>
      <c r="B193" t="inlineStr">
        <is>
          <t>samrådsanmälan</t>
        </is>
      </c>
      <c r="C193" t="inlineStr">
        <is>
          <t>Annan skogsbruksåtgärd</t>
        </is>
      </c>
      <c r="D193" s="1" t="n">
        <v>45565</v>
      </c>
      <c r="E193" s="1" t="n">
        <v>46291</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2770-2024</t>
        </is>
      </c>
      <c r="B194" t="inlineStr">
        <is>
          <t>samrådsanmälan</t>
        </is>
      </c>
      <c r="C194" t="inlineStr">
        <is>
          <t>Annan skogsbruksåtgärd</t>
        </is>
      </c>
      <c r="D194" s="1" t="n">
        <v>45485</v>
      </c>
      <c r="E194" s="1" t="n">
        <v>46291</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4009-2024</t>
        </is>
      </c>
      <c r="B195" t="inlineStr">
        <is>
          <t>samrådsanmälan</t>
        </is>
      </c>
      <c r="C195" t="inlineStr">
        <is>
          <t>Annan skogsbruksåtgärd</t>
        </is>
      </c>
      <c r="D195" s="1" t="n">
        <v>45571</v>
      </c>
      <c r="E195" s="1" t="n">
        <v>46291</v>
      </c>
      <c r="F195" t="inlineStr">
        <is>
          <t>STOCKHOLMS LÄN</t>
        </is>
      </c>
      <c r="G195" t="inlineStr">
        <is>
          <t>SÖDERTÄLJE</t>
        </is>
      </c>
      <c r="I195" t="n">
        <v>0</v>
      </c>
      <c r="J195" t="n">
        <v>0</v>
      </c>
      <c r="K195" t="n">
        <v>0</v>
      </c>
      <c r="L195" t="n">
        <v>0</v>
      </c>
      <c r="M195" t="n">
        <v>0</v>
      </c>
      <c r="N195" t="n">
        <v>0</v>
      </c>
      <c r="O195" t="n">
        <v>0</v>
      </c>
      <c r="P195" t="n">
        <v>0</v>
      </c>
      <c r="Q195" t="n">
        <v>0</v>
      </c>
      <c r="R195" t="n">
        <v>0</v>
      </c>
      <c r="S195" t="n">
        <v>0</v>
      </c>
      <c r="T195" t="n">
        <v>0</v>
      </c>
      <c r="U195" t="n">
        <v>0</v>
      </c>
      <c r="V195" s="2" t="inlineStr"/>
    </row>
    <row r="196">
      <c r="A196" t="inlineStr">
        <is>
          <t>S 6039-2022</t>
        </is>
      </c>
      <c r="B196" t="inlineStr">
        <is>
          <t>samrådsanmälan</t>
        </is>
      </c>
      <c r="C196" t="inlineStr">
        <is>
          <t>Annan skogsbruksåtgärd</t>
        </is>
      </c>
      <c r="D196" s="1" t="n">
        <v>44859</v>
      </c>
      <c r="E196" s="1" t="n">
        <v>46291</v>
      </c>
      <c r="F196" t="inlineStr">
        <is>
          <t>STOCKHOLMS LÄN</t>
        </is>
      </c>
      <c r="G196" t="inlineStr">
        <is>
          <t>SÖDERTÄLJE</t>
        </is>
      </c>
      <c r="H196" t="inlineStr">
        <is>
          <t>Sveaskog</t>
        </is>
      </c>
      <c r="I196" t="n">
        <v>6.8</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2026-09-26T02:01:22Z</dcterms:created>
  <dcterms:modified xmlns:dcterms="http://purl.org/dc/terms/" xmlns:xsi="http://www.w3.org/2001/XMLSchema-instance" xsi:type="dcterms:W3CDTF">2026-09-26T02:01:22Z</dcterms:modified>
</cp:coreProperties>
</file>