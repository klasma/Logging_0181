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46104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46104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46104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46104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46104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46104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46104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46104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46104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46104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46104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46104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46104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46104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46104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46104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46104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46104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46104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46104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46104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46104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46104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46104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46104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46104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46104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9205-2026</t>
        </is>
      </c>
      <c r="B29" s="1" t="n">
        <v>46070.41689814815</v>
      </c>
      <c r="C29" s="1" t="n">
        <v>46104</v>
      </c>
      <c r="D29" t="inlineStr">
        <is>
          <t>STOCKHOLMS LÄN</t>
        </is>
      </c>
      <c r="E29" t="inlineStr">
        <is>
          <t>SÖDERTÄLJE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Gullgröppa</t>
        </is>
      </c>
      <c r="S29">
        <f>HYPERLINK("https://klasma.github.io/Logging_0181/artfynd/A 9205-2026 artfynd.xlsx", "A 9205-2026")</f>
        <v/>
      </c>
      <c r="T29">
        <f>HYPERLINK("https://klasma.github.io/Logging_0181/kartor/A 9205-2026 karta.png", "A 9205-2026")</f>
        <v/>
      </c>
      <c r="V29">
        <f>HYPERLINK("https://klasma.github.io/Logging_0181/klagomål/A 9205-2026 FSC-klagomål.docx", "A 9205-2026")</f>
        <v/>
      </c>
      <c r="W29">
        <f>HYPERLINK("https://klasma.github.io/Logging_0181/klagomålsmail/A 9205-2026 FSC-klagomål mail.docx", "A 9205-2026")</f>
        <v/>
      </c>
      <c r="X29">
        <f>HYPERLINK("https://klasma.github.io/Logging_0181/tillsyn/A 9205-2026 tillsynsbegäran.docx", "A 9205-2026")</f>
        <v/>
      </c>
      <c r="Y29">
        <f>HYPERLINK("https://klasma.github.io/Logging_0181/tillsynsmail/A 9205-2026 tillsynsbegäran mail.docx", "A 9205-2026")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46104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46104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46104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46104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46104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46104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46104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34449-2021</t>
        </is>
      </c>
      <c r="B37" s="1" t="n">
        <v>44381.63587962963</v>
      </c>
      <c r="C37" s="1" t="n">
        <v>46104</v>
      </c>
      <c r="D37" t="inlineStr">
        <is>
          <t>STOCKHOLMS LÄN</t>
        </is>
      </c>
      <c r="E37" t="inlineStr">
        <is>
          <t>SÖDERTÄLJE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HYPERLINK("https://klasma.github.io/Logging_0181/artfynd/A 34449-2021 artfynd.xlsx", "A 34449-2021")</f>
        <v/>
      </c>
      <c r="T37">
        <f>HYPERLINK("https://klasma.github.io/Logging_0181/kartor/A 34449-2021 karta.png", "A 34449-2021")</f>
        <v/>
      </c>
      <c r="V37">
        <f>HYPERLINK("https://klasma.github.io/Logging_0181/klagomål/A 34449-2021 FSC-klagomål.docx", "A 34449-2021")</f>
        <v/>
      </c>
      <c r="W37">
        <f>HYPERLINK("https://klasma.github.io/Logging_0181/klagomålsmail/A 34449-2021 FSC-klagomål mail.docx", "A 34449-2021")</f>
        <v/>
      </c>
      <c r="X37">
        <f>HYPERLINK("https://klasma.github.io/Logging_0181/tillsyn/A 34449-2021 tillsynsbegäran.docx", "A 34449-2021")</f>
        <v/>
      </c>
      <c r="Y37">
        <f>HYPERLINK("https://klasma.github.io/Logging_0181/tillsynsmail/A 34449-2021 tillsynsbegäran mail.docx", "A 34449-2021")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46104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46104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46104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46104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46104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46104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52046-2022</t>
        </is>
      </c>
      <c r="B44" s="1" t="n">
        <v>44868</v>
      </c>
      <c r="C44" s="1" t="n">
        <v>46104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14.4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HYPERLINK("https://klasma.github.io/Logging_0181/artfynd/A 52046-2022 artfynd.xlsx", "A 52046-2022")</f>
        <v/>
      </c>
      <c r="T44">
        <f>HYPERLINK("https://klasma.github.io/Logging_0181/kartor/A 52046-2022 karta.png", "A 52046-2022")</f>
        <v/>
      </c>
      <c r="V44">
        <f>HYPERLINK("https://klasma.github.io/Logging_0181/klagomål/A 52046-2022 FSC-klagomål.docx", "A 52046-2022")</f>
        <v/>
      </c>
      <c r="W44">
        <f>HYPERLINK("https://klasma.github.io/Logging_0181/klagomålsmail/A 52046-2022 FSC-klagomål mail.docx", "A 52046-2022")</f>
        <v/>
      </c>
      <c r="X44">
        <f>HYPERLINK("https://klasma.github.io/Logging_0181/tillsyn/A 52046-2022 tillsynsbegäran.docx", "A 52046-2022")</f>
        <v/>
      </c>
      <c r="Y44">
        <f>HYPERLINK("https://klasma.github.io/Logging_0181/tillsynsmail/A 52046-2022 tillsynsbegäran mail.docx", "A 52046-2022")</f>
        <v/>
      </c>
    </row>
    <row r="45" ht="15" customHeight="1">
      <c r="A45" t="inlineStr">
        <is>
          <t>A 19793-2024</t>
        </is>
      </c>
      <c r="B45" s="1" t="n">
        <v>45432</v>
      </c>
      <c r="C45" s="1" t="n">
        <v>46104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Aktiebolag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HYPERLINK("https://klasma.github.io/Logging_0181/artfynd/A 19793-2024 artfynd.xlsx", "A 19793-2024")</f>
        <v/>
      </c>
      <c r="T45">
        <f>HYPERLINK("https://klasma.github.io/Logging_0181/kartor/A 19793-2024 karta.png", "A 19793-2024")</f>
        <v/>
      </c>
      <c r="V45">
        <f>HYPERLINK("https://klasma.github.io/Logging_0181/klagomål/A 19793-2024 FSC-klagomål.docx", "A 19793-2024")</f>
        <v/>
      </c>
      <c r="W45">
        <f>HYPERLINK("https://klasma.github.io/Logging_0181/klagomålsmail/A 19793-2024 FSC-klagomål mail.docx", "A 19793-2024")</f>
        <v/>
      </c>
      <c r="X45">
        <f>HYPERLINK("https://klasma.github.io/Logging_0181/tillsyn/A 19793-2024 tillsynsbegäran.docx", "A 19793-2024")</f>
        <v/>
      </c>
      <c r="Y45">
        <f>HYPERLINK("https://klasma.github.io/Logging_0181/tillsynsmail/A 19793-2024 tillsynsbegäran mail.docx", "A 19793-2024")</f>
        <v/>
      </c>
    </row>
    <row r="46" ht="15" customHeight="1">
      <c r="A46" t="inlineStr">
        <is>
          <t>A 52046-2022</t>
        </is>
      </c>
      <c r="B46" s="1" t="n">
        <v>44868</v>
      </c>
      <c r="C46" s="1" t="n">
        <v>46104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Tjockfotad fingersvamp</t>
        </is>
      </c>
      <c r="S46">
        <f>HYPERLINK("https://klasma.github.io/Logging_0181/artfynd/A 52046-2022 artfynd.xlsx", "A 52046-2022")</f>
        <v/>
      </c>
      <c r="T46">
        <f>HYPERLINK("https://klasma.github.io/Logging_0181/kartor/A 52046-2022 karta.png", "A 52046-2022")</f>
        <v/>
      </c>
      <c r="V46">
        <f>HYPERLINK("https://klasma.github.io/Logging_0181/klagomål/A 52046-2022 FSC-klagomål.docx", "A 52046-2022")</f>
        <v/>
      </c>
      <c r="W46">
        <f>HYPERLINK("https://klasma.github.io/Logging_0181/klagomålsmail/A 52046-2022 FSC-klagomål mail.docx", "A 52046-2022")</f>
        <v/>
      </c>
      <c r="X46">
        <f>HYPERLINK("https://klasma.github.io/Logging_0181/tillsyn/A 52046-2022 tillsynsbegäran.docx", "A 52046-2022")</f>
        <v/>
      </c>
      <c r="Y46">
        <f>HYPERLINK("https://klasma.github.io/Logging_0181/tillsynsmail/A 52046-2022 tillsynsbegäran mail.docx", "A 52046-2022")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46104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40751-2021</t>
        </is>
      </c>
      <c r="B48" s="1" t="n">
        <v>44420</v>
      </c>
      <c r="C48" s="1" t="n">
        <v>46104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46104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46104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46104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46104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46104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46104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46104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46104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46104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46104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46104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46104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46104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46104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46104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46104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46104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46104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46104</v>
      </c>
      <c r="D67" t="inlineStr">
        <is>
          <t>STOCKHOLMS LÄN</t>
        </is>
      </c>
      <c r="E67" t="inlineStr">
        <is>
          <t>SÖDERTÄLJE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46104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27970-2022</t>
        </is>
      </c>
      <c r="B69" s="1" t="n">
        <v>44744</v>
      </c>
      <c r="C69" s="1" t="n">
        <v>46104</v>
      </c>
      <c r="D69" t="inlineStr">
        <is>
          <t>STOCKHOLMS LÄN</t>
        </is>
      </c>
      <c r="E69" t="inlineStr">
        <is>
          <t>SÖDERTÄLJE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27972-2022</t>
        </is>
      </c>
      <c r="B70" s="1" t="n">
        <v>44744</v>
      </c>
      <c r="C70" s="1" t="n">
        <v>46104</v>
      </c>
      <c r="D70" t="inlineStr">
        <is>
          <t>STOCKHOLMS LÄN</t>
        </is>
      </c>
      <c r="E70" t="inlineStr">
        <is>
          <t>SÖDERTÄLJE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46104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46104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46104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16520-2025</t>
        </is>
      </c>
      <c r="B74" s="1" t="n">
        <v>45751.63434027778</v>
      </c>
      <c r="C74" s="1" t="n">
        <v>46104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19210-2024</t>
        </is>
      </c>
      <c r="B75" s="1" t="n">
        <v>45428.54665509259</v>
      </c>
      <c r="C75" s="1" t="n">
        <v>46104</v>
      </c>
      <c r="D75" t="inlineStr">
        <is>
          <t>STOCKHOLMS LÄN</t>
        </is>
      </c>
      <c r="E75" t="inlineStr">
        <is>
          <t>SÖDERTÄLJE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46104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60897-2025</t>
        </is>
      </c>
      <c r="B77" s="1" t="n">
        <v>45999.58038194444</v>
      </c>
      <c r="C77" s="1" t="n">
        <v>46104</v>
      </c>
      <c r="D77" t="inlineStr">
        <is>
          <t>STOCKHOLMS LÄN</t>
        </is>
      </c>
      <c r="E77" t="inlineStr">
        <is>
          <t>SÖDERTÄLJE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41702-2025</t>
        </is>
      </c>
      <c r="B78" s="1" t="n">
        <v>45902.41623842593</v>
      </c>
      <c r="C78" s="1" t="n">
        <v>46104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46671-2021</t>
        </is>
      </c>
      <c r="B79" s="1" t="n">
        <v>44445</v>
      </c>
      <c r="C79" s="1" t="n">
        <v>46104</v>
      </c>
      <c r="D79" t="inlineStr">
        <is>
          <t>STOCKHOLMS LÄN</t>
        </is>
      </c>
      <c r="E79" t="inlineStr">
        <is>
          <t>SÖDERTÄLJE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56349-2023</t>
        </is>
      </c>
      <c r="B80" s="1" t="n">
        <v>45243</v>
      </c>
      <c r="C80" s="1" t="n">
        <v>46104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41111-2023</t>
        </is>
      </c>
      <c r="B81" s="1" t="n">
        <v>45173.74025462963</v>
      </c>
      <c r="C81" s="1" t="n">
        <v>46104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41115-2023</t>
        </is>
      </c>
      <c r="B82" s="1" t="n">
        <v>45173</v>
      </c>
      <c r="C82" s="1" t="n">
        <v>46104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3382-2024</t>
        </is>
      </c>
      <c r="B83" s="1" t="n">
        <v>45317</v>
      </c>
      <c r="C83" s="1" t="n">
        <v>46104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27969-2022</t>
        </is>
      </c>
      <c r="B84" s="1" t="n">
        <v>44744</v>
      </c>
      <c r="C84" s="1" t="n">
        <v>46104</v>
      </c>
      <c r="D84" t="inlineStr">
        <is>
          <t>STOCKHOLMS LÄN</t>
        </is>
      </c>
      <c r="E84" t="inlineStr">
        <is>
          <t>SÖDERTÄLJE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51353-2024</t>
        </is>
      </c>
      <c r="B85" s="1" t="n">
        <v>45604.36140046296</v>
      </c>
      <c r="C85" s="1" t="n">
        <v>46104</v>
      </c>
      <c r="D85" t="inlineStr">
        <is>
          <t>STOCKHOLMS LÄN</t>
        </is>
      </c>
      <c r="E85" t="inlineStr">
        <is>
          <t>SÖDERTÄLJE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35145-2023</t>
        </is>
      </c>
      <c r="B86" s="1" t="n">
        <v>45145</v>
      </c>
      <c r="C86" s="1" t="n">
        <v>46104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61735-2025</t>
        </is>
      </c>
      <c r="B87" s="1" t="n">
        <v>46002.594375</v>
      </c>
      <c r="C87" s="1" t="n">
        <v>46104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62047-2025</t>
        </is>
      </c>
      <c r="B88" s="1" t="n">
        <v>46006.30792824074</v>
      </c>
      <c r="C88" s="1" t="n">
        <v>46104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62049-2025</t>
        </is>
      </c>
      <c r="B89" s="1" t="n">
        <v>46006.3159837963</v>
      </c>
      <c r="C89" s="1" t="n">
        <v>46104</v>
      </c>
      <c r="D89" t="inlineStr">
        <is>
          <t>STOCKHOLMS LÄN</t>
        </is>
      </c>
      <c r="E89" t="inlineStr">
        <is>
          <t>SÖDERTÄLJE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28981-2023</t>
        </is>
      </c>
      <c r="B90" s="1" t="n">
        <v>45104</v>
      </c>
      <c r="C90" s="1" t="n">
        <v>46104</v>
      </c>
      <c r="D90" t="inlineStr">
        <is>
          <t>STOCKHOLMS LÄN</t>
        </is>
      </c>
      <c r="E90" t="inlineStr">
        <is>
          <t>SÖDERTÄLJE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234-2026</t>
        </is>
      </c>
      <c r="B91" s="1" t="n">
        <v>46027.36018518519</v>
      </c>
      <c r="C91" s="1" t="n">
        <v>46104</v>
      </c>
      <c r="D91" t="inlineStr">
        <is>
          <t>STOCKHOLMS LÄN</t>
        </is>
      </c>
      <c r="E91" t="inlineStr">
        <is>
          <t>SÖDERTÄLJE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243-2026</t>
        </is>
      </c>
      <c r="B92" s="1" t="n">
        <v>46027.39109953704</v>
      </c>
      <c r="C92" s="1" t="n">
        <v>46104</v>
      </c>
      <c r="D92" t="inlineStr">
        <is>
          <t>STOCKHOLMS LÄN</t>
        </is>
      </c>
      <c r="E92" t="inlineStr">
        <is>
          <t>SÖDERTÄLJE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25414-2025</t>
        </is>
      </c>
      <c r="B93" s="1" t="n">
        <v>45799</v>
      </c>
      <c r="C93" s="1" t="n">
        <v>46104</v>
      </c>
      <c r="D93" t="inlineStr">
        <is>
          <t>STOCKHOLMS LÄN</t>
        </is>
      </c>
      <c r="E93" t="inlineStr">
        <is>
          <t>SÖDERTÄLJE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16615-2024</t>
        </is>
      </c>
      <c r="B94" s="1" t="n">
        <v>45408</v>
      </c>
      <c r="C94" s="1" t="n">
        <v>46104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25396-2025</t>
        </is>
      </c>
      <c r="B95" s="1" t="n">
        <v>45799</v>
      </c>
      <c r="C95" s="1" t="n">
        <v>46104</v>
      </c>
      <c r="D95" t="inlineStr">
        <is>
          <t>STOCKHOLMS LÄN</t>
        </is>
      </c>
      <c r="E95" t="inlineStr">
        <is>
          <t>SÖDERTÄLJE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231-2026</t>
        </is>
      </c>
      <c r="B96" s="1" t="n">
        <v>46027.34201388889</v>
      </c>
      <c r="C96" s="1" t="n">
        <v>46104</v>
      </c>
      <c r="D96" t="inlineStr">
        <is>
          <t>STOCKHOLMS LÄN</t>
        </is>
      </c>
      <c r="E96" t="inlineStr">
        <is>
          <t>SÖDERTÄLJE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25412-2025</t>
        </is>
      </c>
      <c r="B97" s="1" t="n">
        <v>45799</v>
      </c>
      <c r="C97" s="1" t="n">
        <v>46104</v>
      </c>
      <c r="D97" t="inlineStr">
        <is>
          <t>STOCKHOLMS LÄN</t>
        </is>
      </c>
      <c r="E97" t="inlineStr">
        <is>
          <t>SÖDERTÄLJE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233-2026</t>
        </is>
      </c>
      <c r="B98" s="1" t="n">
        <v>46027.34767361111</v>
      </c>
      <c r="C98" s="1" t="n">
        <v>46104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48342-2025</t>
        </is>
      </c>
      <c r="B99" s="1" t="n">
        <v>45933</v>
      </c>
      <c r="C99" s="1" t="n">
        <v>46104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9234-2026</t>
        </is>
      </c>
      <c r="B100" s="1" t="n">
        <v>46070.46931712963</v>
      </c>
      <c r="C100" s="1" t="n">
        <v>46104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46104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1150-2026</t>
        </is>
      </c>
      <c r="B102" s="1" t="n">
        <v>46030.98674768519</v>
      </c>
      <c r="C102" s="1" t="n">
        <v>46104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52101-2022</t>
        </is>
      </c>
      <c r="B103" s="1" t="n">
        <v>44873</v>
      </c>
      <c r="C103" s="1" t="n">
        <v>46104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25415-2025</t>
        </is>
      </c>
      <c r="B104" s="1" t="n">
        <v>45799</v>
      </c>
      <c r="C104" s="1" t="n">
        <v>46104</v>
      </c>
      <c r="D104" t="inlineStr">
        <is>
          <t>STOCKHOLMS LÄN</t>
        </is>
      </c>
      <c r="E104" t="inlineStr">
        <is>
          <t>SÖDERTÄLJE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42133-2023</t>
        </is>
      </c>
      <c r="B105" s="1" t="n">
        <v>45177.83136574074</v>
      </c>
      <c r="C105" s="1" t="n">
        <v>46104</v>
      </c>
      <c r="D105" t="inlineStr">
        <is>
          <t>STOCKHOLMS LÄN</t>
        </is>
      </c>
      <c r="E105" t="inlineStr">
        <is>
          <t>SÖDERTÄLJE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37844-2022</t>
        </is>
      </c>
      <c r="B106" s="1" t="n">
        <v>44810</v>
      </c>
      <c r="C106" s="1" t="n">
        <v>46104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10280-2025</t>
        </is>
      </c>
      <c r="B107" s="1" t="n">
        <v>45720.40354166667</v>
      </c>
      <c r="C107" s="1" t="n">
        <v>46104</v>
      </c>
      <c r="D107" t="inlineStr">
        <is>
          <t>STOCKHOLMS LÄN</t>
        </is>
      </c>
      <c r="E107" t="inlineStr">
        <is>
          <t>SÖDERTÄLJE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1696-2026</t>
        </is>
      </c>
      <c r="B108" s="1" t="n">
        <v>46034.59373842592</v>
      </c>
      <c r="C108" s="1" t="n">
        <v>46104</v>
      </c>
      <c r="D108" t="inlineStr">
        <is>
          <t>STOCKHOLMS LÄN</t>
        </is>
      </c>
      <c r="E108" t="inlineStr">
        <is>
          <t>SÖDERTÄLJE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36886-2023</t>
        </is>
      </c>
      <c r="B109" s="1" t="n">
        <v>45154</v>
      </c>
      <c r="C109" s="1" t="n">
        <v>46104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1715-2026</t>
        </is>
      </c>
      <c r="B110" s="1" t="n">
        <v>46034.60863425926</v>
      </c>
      <c r="C110" s="1" t="n">
        <v>46104</v>
      </c>
      <c r="D110" t="inlineStr">
        <is>
          <t>STOCKHOLMS LÄN</t>
        </is>
      </c>
      <c r="E110" t="inlineStr">
        <is>
          <t>SÖDERTÄLJE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10327-2026</t>
        </is>
      </c>
      <c r="B111" s="1" t="n">
        <v>46076.66210648148</v>
      </c>
      <c r="C111" s="1" t="n">
        <v>46104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2542-2026</t>
        </is>
      </c>
      <c r="B112" s="1" t="n">
        <v>46037.46063657408</v>
      </c>
      <c r="C112" s="1" t="n">
        <v>46104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4443-2023</t>
        </is>
      </c>
      <c r="B113" s="1" t="n">
        <v>44956.45393518519</v>
      </c>
      <c r="C113" s="1" t="n">
        <v>46104</v>
      </c>
      <c r="D113" t="inlineStr">
        <is>
          <t>STOCKHOLMS LÄN</t>
        </is>
      </c>
      <c r="E113" t="inlineStr">
        <is>
          <t>SÖDERTÄLJE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47714-2023</t>
        </is>
      </c>
      <c r="B114" s="1" t="n">
        <v>45198</v>
      </c>
      <c r="C114" s="1" t="n">
        <v>46104</v>
      </c>
      <c r="D114" t="inlineStr">
        <is>
          <t>STOCKHOLMS LÄN</t>
        </is>
      </c>
      <c r="E114" t="inlineStr">
        <is>
          <t>SÖDERTÄLJE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2685-2026</t>
        </is>
      </c>
      <c r="B115" s="1" t="n">
        <v>46037.65710648148</v>
      </c>
      <c r="C115" s="1" t="n">
        <v>46104</v>
      </c>
      <c r="D115" t="inlineStr">
        <is>
          <t>STOCKHOLMS LÄN</t>
        </is>
      </c>
      <c r="E115" t="inlineStr">
        <is>
          <t>SÖDERTÄLJE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32044-2023</t>
        </is>
      </c>
      <c r="B116" s="1" t="n">
        <v>45119</v>
      </c>
      <c r="C116" s="1" t="n">
        <v>46104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55941-2023</t>
        </is>
      </c>
      <c r="B117" s="1" t="n">
        <v>45240</v>
      </c>
      <c r="C117" s="1" t="n">
        <v>46104</v>
      </c>
      <c r="D117" t="inlineStr">
        <is>
          <t>STOCKHOLMS LÄN</t>
        </is>
      </c>
      <c r="E117" t="inlineStr">
        <is>
          <t>SÖDERTÄLJE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28982-2024</t>
        </is>
      </c>
      <c r="B118" s="1" t="n">
        <v>45481.47568287037</v>
      </c>
      <c r="C118" s="1" t="n">
        <v>46104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10446-2026</t>
        </is>
      </c>
      <c r="B119" s="1" t="n">
        <v>46077.43023148148</v>
      </c>
      <c r="C119" s="1" t="n">
        <v>46104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10450-2026</t>
        </is>
      </c>
      <c r="B120" s="1" t="n">
        <v>46077.43619212963</v>
      </c>
      <c r="C120" s="1" t="n">
        <v>46104</v>
      </c>
      <c r="D120" t="inlineStr">
        <is>
          <t>STOCKHOLMS LÄN</t>
        </is>
      </c>
      <c r="E120" t="inlineStr">
        <is>
          <t>SÖDERTÄLJE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10452-2026</t>
        </is>
      </c>
      <c r="B121" s="1" t="n">
        <v>46077.43957175926</v>
      </c>
      <c r="C121" s="1" t="n">
        <v>46104</v>
      </c>
      <c r="D121" t="inlineStr">
        <is>
          <t>STOCKHOLMS LÄN</t>
        </is>
      </c>
      <c r="E121" t="inlineStr">
        <is>
          <t>SÖDERTÄLJE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10426-2026</t>
        </is>
      </c>
      <c r="B122" s="1" t="n">
        <v>46077.37449074074</v>
      </c>
      <c r="C122" s="1" t="n">
        <v>46104</v>
      </c>
      <c r="D122" t="inlineStr">
        <is>
          <t>STOCKHOLMS LÄN</t>
        </is>
      </c>
      <c r="E122" t="inlineStr">
        <is>
          <t>SÖDERTÄLJE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10404-2026</t>
        </is>
      </c>
      <c r="B123" s="1" t="n">
        <v>46077.34288194445</v>
      </c>
      <c r="C123" s="1" t="n">
        <v>46104</v>
      </c>
      <c r="D123" t="inlineStr">
        <is>
          <t>STOCKHOLMS LÄN</t>
        </is>
      </c>
      <c r="E123" t="inlineStr">
        <is>
          <t>SÖDERTÄLJE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10417-2026</t>
        </is>
      </c>
      <c r="B124" s="1" t="n">
        <v>46077.35170138889</v>
      </c>
      <c r="C124" s="1" t="n">
        <v>46104</v>
      </c>
      <c r="D124" t="inlineStr">
        <is>
          <t>STOCKHOLMS LÄN</t>
        </is>
      </c>
      <c r="E124" t="inlineStr">
        <is>
          <t>SÖDERTÄLJE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10428-2026</t>
        </is>
      </c>
      <c r="B125" s="1" t="n">
        <v>46077.37820601852</v>
      </c>
      <c r="C125" s="1" t="n">
        <v>46104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10425-2026</t>
        </is>
      </c>
      <c r="B126" s="1" t="n">
        <v>46077.36981481482</v>
      </c>
      <c r="C126" s="1" t="n">
        <v>46104</v>
      </c>
      <c r="D126" t="inlineStr">
        <is>
          <t>STOCKHOLMS LÄN</t>
        </is>
      </c>
      <c r="E126" t="inlineStr">
        <is>
          <t>SÖDERTÄLJE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10414-2026</t>
        </is>
      </c>
      <c r="B127" s="1" t="n">
        <v>46077.34652777778</v>
      </c>
      <c r="C127" s="1" t="n">
        <v>46104</v>
      </c>
      <c r="D127" t="inlineStr">
        <is>
          <t>STOCKHOLMS LÄN</t>
        </is>
      </c>
      <c r="E127" t="inlineStr">
        <is>
          <t>SÖDERTÄLJE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12116-2026</t>
        </is>
      </c>
      <c r="B128" s="1" t="n">
        <v>46086.54368055556</v>
      </c>
      <c r="C128" s="1" t="n">
        <v>46104</v>
      </c>
      <c r="D128" t="inlineStr">
        <is>
          <t>STOCKHOLMS LÄN</t>
        </is>
      </c>
      <c r="E128" t="inlineStr">
        <is>
          <t>SÖDERTÄLJE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12121-2026</t>
        </is>
      </c>
      <c r="B129" s="1" t="n">
        <v>46086.54655092592</v>
      </c>
      <c r="C129" s="1" t="n">
        <v>46104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92-2024</t>
        </is>
      </c>
      <c r="B130" s="1" t="n">
        <v>45293</v>
      </c>
      <c r="C130" s="1" t="n">
        <v>46104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54448-2025</t>
        </is>
      </c>
      <c r="B131" s="1" t="n">
        <v>45965</v>
      </c>
      <c r="C131" s="1" t="n">
        <v>46104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12907-2024</t>
        </is>
      </c>
      <c r="B132" s="1" t="n">
        <v>45385</v>
      </c>
      <c r="C132" s="1" t="n">
        <v>46104</v>
      </c>
      <c r="D132" t="inlineStr">
        <is>
          <t>STOCKHOLMS LÄN</t>
        </is>
      </c>
      <c r="E132" t="inlineStr">
        <is>
          <t>SÖDERTÄLJE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26909-2024</t>
        </is>
      </c>
      <c r="B133" s="1" t="n">
        <v>45470</v>
      </c>
      <c r="C133" s="1" t="n">
        <v>46104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28502-2023</t>
        </is>
      </c>
      <c r="B134" s="1" t="n">
        <v>45103</v>
      </c>
      <c r="C134" s="1" t="n">
        <v>46104</v>
      </c>
      <c r="D134" t="inlineStr">
        <is>
          <t>STOCKHOLMS LÄN</t>
        </is>
      </c>
      <c r="E134" t="inlineStr">
        <is>
          <t>SÖDERTÄLJE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9562-2025</t>
        </is>
      </c>
      <c r="B135" s="1" t="n">
        <v>45715.61215277778</v>
      </c>
      <c r="C135" s="1" t="n">
        <v>46104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55532-2025</t>
        </is>
      </c>
      <c r="B136" s="1" t="n">
        <v>45971.62462962963</v>
      </c>
      <c r="C136" s="1" t="n">
        <v>46104</v>
      </c>
      <c r="D136" t="inlineStr">
        <is>
          <t>STOCKHOLMS LÄN</t>
        </is>
      </c>
      <c r="E136" t="inlineStr">
        <is>
          <t>SÖDERTÄLJE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8611-2023</t>
        </is>
      </c>
      <c r="B137" s="1" t="n">
        <v>44977</v>
      </c>
      <c r="C137" s="1" t="n">
        <v>46104</v>
      </c>
      <c r="D137" t="inlineStr">
        <is>
          <t>STOCKHOLMS LÄN</t>
        </is>
      </c>
      <c r="E137" t="inlineStr">
        <is>
          <t>SÖDERTÄLJE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3108-2024</t>
        </is>
      </c>
      <c r="B138" s="1" t="n">
        <v>45316</v>
      </c>
      <c r="C138" s="1" t="n">
        <v>46104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42337-2024</t>
        </is>
      </c>
      <c r="B139" s="1" t="n">
        <v>45562</v>
      </c>
      <c r="C139" s="1" t="n">
        <v>46104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Övriga statliga verk och myndigheter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18592-2023</t>
        </is>
      </c>
      <c r="B140" s="1" t="n">
        <v>45043</v>
      </c>
      <c r="C140" s="1" t="n">
        <v>46104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1381-2023</t>
        </is>
      </c>
      <c r="B141" s="1" t="n">
        <v>44936.68457175926</v>
      </c>
      <c r="C141" s="1" t="n">
        <v>46104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56354-2023</t>
        </is>
      </c>
      <c r="B142" s="1" t="n">
        <v>45243</v>
      </c>
      <c r="C142" s="1" t="n">
        <v>46104</v>
      </c>
      <c r="D142" t="inlineStr">
        <is>
          <t>STOCKHOLMS LÄN</t>
        </is>
      </c>
      <c r="E142" t="inlineStr">
        <is>
          <t>SÖDERTÄLJE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31375-2024</t>
        </is>
      </c>
      <c r="B143" s="1" t="n">
        <v>45505</v>
      </c>
      <c r="C143" s="1" t="n">
        <v>46104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46104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13957-2026</t>
        </is>
      </c>
      <c r="B145" s="1" t="n">
        <v>46098.55598379629</v>
      </c>
      <c r="C145" s="1" t="n">
        <v>46104</v>
      </c>
      <c r="D145" t="inlineStr">
        <is>
          <t>STOCKHOLMS LÄN</t>
        </is>
      </c>
      <c r="E145" t="inlineStr">
        <is>
          <t>SÖDERTÄLJE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13943-2026</t>
        </is>
      </c>
      <c r="B146" s="1" t="n">
        <v>46098.53907407408</v>
      </c>
      <c r="C146" s="1" t="n">
        <v>46104</v>
      </c>
      <c r="D146" t="inlineStr">
        <is>
          <t>STOCKHOLMS LÄN</t>
        </is>
      </c>
      <c r="E146" t="inlineStr">
        <is>
          <t>SÖDERTÄLJE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3152-2026</t>
        </is>
      </c>
      <c r="B147" s="1" t="n">
        <v>46041</v>
      </c>
      <c r="C147" s="1" t="n">
        <v>46104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7023-2026</t>
        </is>
      </c>
      <c r="B148" s="1" t="n">
        <v>46057.66645833333</v>
      </c>
      <c r="C148" s="1" t="n">
        <v>46104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28346-2025</t>
        </is>
      </c>
      <c r="B149" s="1" t="n">
        <v>45818.70325231482</v>
      </c>
      <c r="C149" s="1" t="n">
        <v>46104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954-2023</t>
        </is>
      </c>
      <c r="B150" s="1" t="n">
        <v>44934.7921875</v>
      </c>
      <c r="C150" s="1" t="n">
        <v>46104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35200-2023</t>
        </is>
      </c>
      <c r="B151" s="1" t="n">
        <v>45145</v>
      </c>
      <c r="C151" s="1" t="n">
        <v>46104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29336-2025</t>
        </is>
      </c>
      <c r="B152" s="1" t="n">
        <v>45824.49658564815</v>
      </c>
      <c r="C152" s="1" t="n">
        <v>46104</v>
      </c>
      <c r="D152" t="inlineStr">
        <is>
          <t>STOCKHOLMS LÄN</t>
        </is>
      </c>
      <c r="E152" t="inlineStr">
        <is>
          <t>SÖDERTÄLJE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29770-2025</t>
        </is>
      </c>
      <c r="B153" s="1" t="n">
        <v>45825.62880787037</v>
      </c>
      <c r="C153" s="1" t="n">
        <v>46104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31212-2024</t>
        </is>
      </c>
      <c r="B154" s="1" t="n">
        <v>45503</v>
      </c>
      <c r="C154" s="1" t="n">
        <v>46104</v>
      </c>
      <c r="D154" t="inlineStr">
        <is>
          <t>STOCKHOLMS LÄN</t>
        </is>
      </c>
      <c r="E154" t="inlineStr">
        <is>
          <t>SÖDERTÄLJE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58140-2023</t>
        </is>
      </c>
      <c r="B155" s="1" t="n">
        <v>45250</v>
      </c>
      <c r="C155" s="1" t="n">
        <v>46104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51087-2023</t>
        </is>
      </c>
      <c r="B156" s="1" t="n">
        <v>45218.73296296296</v>
      </c>
      <c r="C156" s="1" t="n">
        <v>46104</v>
      </c>
      <c r="D156" t="inlineStr">
        <is>
          <t>STOCKHOLMS LÄN</t>
        </is>
      </c>
      <c r="E156" t="inlineStr">
        <is>
          <t>SÖDERTÄLJE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46104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31086-2025</t>
        </is>
      </c>
      <c r="B158" s="1" t="n">
        <v>45832.59052083334</v>
      </c>
      <c r="C158" s="1" t="n">
        <v>46104</v>
      </c>
      <c r="D158" t="inlineStr">
        <is>
          <t>STOCKHOLMS LÄN</t>
        </is>
      </c>
      <c r="E158" t="inlineStr">
        <is>
          <t>SÖDERTÄLJE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487-2024</t>
        </is>
      </c>
      <c r="B159" s="1" t="n">
        <v>45298.85216435185</v>
      </c>
      <c r="C159" s="1" t="n">
        <v>46104</v>
      </c>
      <c r="D159" t="inlineStr">
        <is>
          <t>STOCKHOLMS LÄN</t>
        </is>
      </c>
      <c r="E159" t="inlineStr">
        <is>
          <t>SÖDERTÄLJE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47576-2023</t>
        </is>
      </c>
      <c r="B160" s="1" t="n">
        <v>45197</v>
      </c>
      <c r="C160" s="1" t="n">
        <v>46104</v>
      </c>
      <c r="D160" t="inlineStr">
        <is>
          <t>STOCKHOLMS LÄN</t>
        </is>
      </c>
      <c r="E160" t="inlineStr">
        <is>
          <t>SÖDERTÄLJE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35906-2022</t>
        </is>
      </c>
      <c r="B161" s="1" t="n">
        <v>44802</v>
      </c>
      <c r="C161" s="1" t="n">
        <v>46104</v>
      </c>
      <c r="D161" t="inlineStr">
        <is>
          <t>STOCKHOLMS LÄN</t>
        </is>
      </c>
      <c r="E161" t="inlineStr">
        <is>
          <t>SÖDERTÄLJE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52815-2023</t>
        </is>
      </c>
      <c r="B162" s="1" t="n">
        <v>45226</v>
      </c>
      <c r="C162" s="1" t="n">
        <v>46104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60635-2024</t>
        </is>
      </c>
      <c r="B163" s="1" t="n">
        <v>45644.41744212963</v>
      </c>
      <c r="C163" s="1" t="n">
        <v>46104</v>
      </c>
      <c r="D163" t="inlineStr">
        <is>
          <t>STOCKHOLMS LÄN</t>
        </is>
      </c>
      <c r="E163" t="inlineStr">
        <is>
          <t>SÖDERTÄLJE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46104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46104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62311-2023</t>
        </is>
      </c>
      <c r="B166" s="1" t="n">
        <v>45266</v>
      </c>
      <c r="C166" s="1" t="n">
        <v>46104</v>
      </c>
      <c r="D166" t="inlineStr">
        <is>
          <t>STOCKHOLMS LÄN</t>
        </is>
      </c>
      <c r="E166" t="inlineStr">
        <is>
          <t>SÖDERTÄLJE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25706-2023</t>
        </is>
      </c>
      <c r="B167" s="1" t="n">
        <v>45090</v>
      </c>
      <c r="C167" s="1" t="n">
        <v>46104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38194-2025</t>
        </is>
      </c>
      <c r="B168" s="1" t="n">
        <v>45882.65921296296</v>
      </c>
      <c r="C168" s="1" t="n">
        <v>46104</v>
      </c>
      <c r="D168" t="inlineStr">
        <is>
          <t>STOCKHOLMS LÄN</t>
        </is>
      </c>
      <c r="E168" t="inlineStr">
        <is>
          <t>SÖDERTÄLJE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46104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46104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46104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46104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46104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46104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46104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46104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46104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46104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46104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46104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46104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46104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46104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46104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46104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46104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46104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46104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46104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46104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46104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46104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46104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46104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46104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46104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46104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46104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46104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46104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46104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46104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46104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46104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46104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46104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46104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46104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46104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46104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46104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46104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2026-03-23T11:31:03Z</dcterms:created>
  <dcterms:modified xmlns:dcterms="http://purl.org/dc/terms/" xmlns:xsi="http://www.w3.org/2001/XMLSchema-instance" xsi:type="dcterms:W3CDTF">2026-03-23T11:31:04Z</dcterms:modified>
</cp:coreProperties>
</file>