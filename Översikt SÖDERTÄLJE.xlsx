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45972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45972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45972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45972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45972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45972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45972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45972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45972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45972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45972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45972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45972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45972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43525-2023</t>
        </is>
      </c>
      <c r="B16" s="1" t="n">
        <v>45184</v>
      </c>
      <c r="C16" s="1" t="n">
        <v>45972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Fläcknycklar</t>
        </is>
      </c>
      <c r="S16">
        <f>HYPERLINK("https://klasma.github.io/Logging_0181/artfynd/A 43525-2023 artfynd.xlsx", "A 43525-2023")</f>
        <v/>
      </c>
      <c r="T16">
        <f>HYPERLINK("https://klasma.github.io/Logging_0181/kartor/A 43525-2023 karta.png", "A 43525-2023")</f>
        <v/>
      </c>
      <c r="V16">
        <f>HYPERLINK("https://klasma.github.io/Logging_0181/klagomål/A 43525-2023 FSC-klagomål.docx", "A 43525-2023")</f>
        <v/>
      </c>
      <c r="W16">
        <f>HYPERLINK("https://klasma.github.io/Logging_0181/klagomålsmail/A 43525-2023 FSC-klagomål mail.docx", "A 43525-2023")</f>
        <v/>
      </c>
      <c r="X16">
        <f>HYPERLINK("https://klasma.github.io/Logging_0181/tillsyn/A 43525-2023 tillsynsbegäran.docx", "A 43525-2023")</f>
        <v/>
      </c>
      <c r="Y16">
        <f>HYPERLINK("https://klasma.github.io/Logging_0181/tillsynsmail/A 43525-2023 tillsynsbegäran mail.docx", "A 43525-2023")</f>
        <v/>
      </c>
    </row>
    <row r="17" ht="15" customHeight="1">
      <c r="A17" t="inlineStr">
        <is>
          <t>A 66734-2021</t>
        </is>
      </c>
      <c r="B17" s="1" t="n">
        <v>44520</v>
      </c>
      <c r="C17" s="1" t="n">
        <v>45972</v>
      </c>
      <c r="D17" t="inlineStr">
        <is>
          <t>STOCKHOLMS LÄN</t>
        </is>
      </c>
      <c r="E17" t="inlineStr">
        <is>
          <t>SÖDERTÄLJE</t>
        </is>
      </c>
      <c r="G17" t="n">
        <v>1.2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Svavelriska</t>
        </is>
      </c>
      <c r="S17">
        <f>HYPERLINK("https://klasma.github.io/Logging_0181/artfynd/A 66734-2021 artfynd.xlsx", "A 66734-2021")</f>
        <v/>
      </c>
      <c r="T17">
        <f>HYPERLINK("https://klasma.github.io/Logging_0181/kartor/A 66734-2021 karta.png", "A 66734-2021")</f>
        <v/>
      </c>
      <c r="V17">
        <f>HYPERLINK("https://klasma.github.io/Logging_0181/klagomål/A 66734-2021 FSC-klagomål.docx", "A 66734-2021")</f>
        <v/>
      </c>
      <c r="W17">
        <f>HYPERLINK("https://klasma.github.io/Logging_0181/klagomålsmail/A 66734-2021 FSC-klagomål mail.docx", "A 66734-2021")</f>
        <v/>
      </c>
      <c r="X17">
        <f>HYPERLINK("https://klasma.github.io/Logging_0181/tillsyn/A 66734-2021 tillsynsbegäran.docx", "A 66734-2021")</f>
        <v/>
      </c>
      <c r="Y17">
        <f>HYPERLINK("https://klasma.github.io/Logging_0181/tillsynsmail/A 66734-2021 tillsynsbegäran mail.docx", "A 66734-2021")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45972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45972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45972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45972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16478-2025</t>
        </is>
      </c>
      <c r="B22" s="1" t="n">
        <v>45751.57346064815</v>
      </c>
      <c r="C22" s="1" t="n">
        <v>45972</v>
      </c>
      <c r="D22" t="inlineStr">
        <is>
          <t>STOCKHOLMS LÄN</t>
        </is>
      </c>
      <c r="E22" t="inlineStr">
        <is>
          <t>SÖDERTÄLJE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HYPERLINK("https://klasma.github.io/Logging_0181/artfynd/A 16478-2025 artfynd.xlsx", "A 16478-2025")</f>
        <v/>
      </c>
      <c r="T22">
        <f>HYPERLINK("https://klasma.github.io/Logging_0181/kartor/A 16478-2025 karta.png", "A 16478-2025")</f>
        <v/>
      </c>
      <c r="V22">
        <f>HYPERLINK("https://klasma.github.io/Logging_0181/klagomål/A 16478-2025 FSC-klagomål.docx", "A 16478-2025")</f>
        <v/>
      </c>
      <c r="W22">
        <f>HYPERLINK("https://klasma.github.io/Logging_0181/klagomålsmail/A 16478-2025 FSC-klagomål mail.docx", "A 16478-2025")</f>
        <v/>
      </c>
      <c r="X22">
        <f>HYPERLINK("https://klasma.github.io/Logging_0181/tillsyn/A 16478-2025 tillsynsbegäran.docx", "A 16478-2025")</f>
        <v/>
      </c>
      <c r="Y22">
        <f>HYPERLINK("https://klasma.github.io/Logging_0181/tillsynsmail/A 16478-2025 tillsynsbegäran mail.docx", "A 16478-2025")</f>
        <v/>
      </c>
    </row>
    <row r="23" ht="15" customHeight="1">
      <c r="A23" t="inlineStr">
        <is>
          <t>A 26902-2024</t>
        </is>
      </c>
      <c r="B23" s="1" t="n">
        <v>45470</v>
      </c>
      <c r="C23" s="1" t="n">
        <v>45972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26902-2024 artfynd.xlsx", "A 26902-2024")</f>
        <v/>
      </c>
      <c r="T23">
        <f>HYPERLINK("https://klasma.github.io/Logging_0181/kartor/A 26902-2024 karta.png", "A 26902-2024")</f>
        <v/>
      </c>
      <c r="V23">
        <f>HYPERLINK("https://klasma.github.io/Logging_0181/klagomål/A 26902-2024 FSC-klagomål.docx", "A 26902-2024")</f>
        <v/>
      </c>
      <c r="W23">
        <f>HYPERLINK("https://klasma.github.io/Logging_0181/klagomålsmail/A 26902-2024 FSC-klagomål mail.docx", "A 26902-2024")</f>
        <v/>
      </c>
      <c r="X23">
        <f>HYPERLINK("https://klasma.github.io/Logging_0181/tillsyn/A 26902-2024 tillsynsbegäran.docx", "A 26902-2024")</f>
        <v/>
      </c>
      <c r="Y23">
        <f>HYPERLINK("https://klasma.github.io/Logging_0181/tillsynsmail/A 26902-2024 tillsynsbegäran mail.docx", "A 26902-2024")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45972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45972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45972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12968-2024</t>
        </is>
      </c>
      <c r="B27" s="1" t="n">
        <v>45385.50599537037</v>
      </c>
      <c r="C27" s="1" t="n">
        <v>45972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HYPERLINK("https://klasma.github.io/Logging_0181/artfynd/A 12968-2024 artfynd.xlsx", "A 12968-2024")</f>
        <v/>
      </c>
      <c r="T27">
        <f>HYPERLINK("https://klasma.github.io/Logging_0181/kartor/A 12968-2024 karta.png", "A 12968-2024")</f>
        <v/>
      </c>
      <c r="V27">
        <f>HYPERLINK("https://klasma.github.io/Logging_0181/klagomål/A 12968-2024 FSC-klagomål.docx", "A 12968-2024")</f>
        <v/>
      </c>
      <c r="W27">
        <f>HYPERLINK("https://klasma.github.io/Logging_0181/klagomålsmail/A 12968-2024 FSC-klagomål mail.docx", "A 12968-2024")</f>
        <v/>
      </c>
      <c r="X27">
        <f>HYPERLINK("https://klasma.github.io/Logging_0181/tillsyn/A 12968-2024 tillsynsbegäran.docx", "A 12968-2024")</f>
        <v/>
      </c>
      <c r="Y27">
        <f>HYPERLINK("https://klasma.github.io/Logging_0181/tillsynsmail/A 12968-2024 tillsynsbegäran mail.docx", "A 12968-2024")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45972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55263-2021</t>
        </is>
      </c>
      <c r="B29" s="1" t="n">
        <v>44475</v>
      </c>
      <c r="C29" s="1" t="n">
        <v>45972</v>
      </c>
      <c r="D29" t="inlineStr">
        <is>
          <t>STOCKHOLMS LÄN</t>
        </is>
      </c>
      <c r="E29" t="inlineStr">
        <is>
          <t>SÖDERTÄLJE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Backklöver</t>
        </is>
      </c>
      <c r="S29">
        <f>HYPERLINK("https://klasma.github.io/Logging_0181/artfynd/A 55263-2021 artfynd.xlsx", "A 55263-2021")</f>
        <v/>
      </c>
      <c r="T29">
        <f>HYPERLINK("https://klasma.github.io/Logging_0181/kartor/A 55263-2021 karta.png", "A 55263-2021")</f>
        <v/>
      </c>
      <c r="V29">
        <f>HYPERLINK("https://klasma.github.io/Logging_0181/klagomål/A 55263-2021 FSC-klagomål.docx", "A 55263-2021")</f>
        <v/>
      </c>
      <c r="W29">
        <f>HYPERLINK("https://klasma.github.io/Logging_0181/klagomålsmail/A 55263-2021 FSC-klagomål mail.docx", "A 55263-2021")</f>
        <v/>
      </c>
      <c r="X29">
        <f>HYPERLINK("https://klasma.github.io/Logging_0181/tillsyn/A 55263-2021 tillsynsbegäran.docx", "A 55263-2021")</f>
        <v/>
      </c>
      <c r="Y29">
        <f>HYPERLINK("https://klasma.github.io/Logging_0181/tillsynsmail/A 55263-2021 tillsynsbegäran mail.docx", "A 55263-2021")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45972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45972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52791-2024</t>
        </is>
      </c>
      <c r="B32" s="1" t="n">
        <v>45610.55574074074</v>
      </c>
      <c r="C32" s="1" t="n">
        <v>45972</v>
      </c>
      <c r="D32" t="inlineStr">
        <is>
          <t>STOCKHOLMS LÄN</t>
        </is>
      </c>
      <c r="E32" t="inlineStr">
        <is>
          <t>SÖDERTÄLJE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HYPERLINK("https://klasma.github.io/Logging_0181/artfynd/A 52791-2024 artfynd.xlsx", "A 52791-2024")</f>
        <v/>
      </c>
      <c r="T32">
        <f>HYPERLINK("https://klasma.github.io/Logging_0181/kartor/A 52791-2024 karta.png", "A 52791-2024")</f>
        <v/>
      </c>
      <c r="U32">
        <f>HYPERLINK("https://klasma.github.io/Logging_0181/knärot/A 52791-2024 karta knärot.png", "A 52791-2024")</f>
        <v/>
      </c>
      <c r="V32">
        <f>HYPERLINK("https://klasma.github.io/Logging_0181/klagomål/A 52791-2024 FSC-klagomål.docx", "A 52791-2024")</f>
        <v/>
      </c>
      <c r="W32">
        <f>HYPERLINK("https://klasma.github.io/Logging_0181/klagomålsmail/A 52791-2024 FSC-klagomål mail.docx", "A 52791-2024")</f>
        <v/>
      </c>
      <c r="X32">
        <f>HYPERLINK("https://klasma.github.io/Logging_0181/tillsyn/A 52791-2024 tillsynsbegäran.docx", "A 52791-2024")</f>
        <v/>
      </c>
      <c r="Y32">
        <f>HYPERLINK("https://klasma.github.io/Logging_0181/tillsynsmail/A 52791-2024 tillsynsbegäran mail.docx", "A 52791-2024")</f>
        <v/>
      </c>
      <c r="Z32">
        <f>HYPERLINK("https://klasma.github.io/Logging_0181/fåglar/A 52791-2024 prioriterade fågelarter.docx", "A 52791-2024")</f>
        <v/>
      </c>
    </row>
    <row r="33" ht="15" customHeight="1">
      <c r="A33" t="inlineStr">
        <is>
          <t>A 21726-2025</t>
        </is>
      </c>
      <c r="B33" s="1" t="n">
        <v>45783.56921296296</v>
      </c>
      <c r="C33" s="1" t="n">
        <v>45972</v>
      </c>
      <c r="D33" t="inlineStr">
        <is>
          <t>STOCKHOLMS LÄN</t>
        </is>
      </c>
      <c r="E33" t="inlineStr">
        <is>
          <t>SÖDERTÄLJE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HYPERLINK("https://klasma.github.io/Logging_0181/artfynd/A 21726-2025 artfynd.xlsx", "A 21726-2025")</f>
        <v/>
      </c>
      <c r="T33">
        <f>HYPERLINK("https://klasma.github.io/Logging_0181/kartor/A 21726-2025 karta.png", "A 21726-2025")</f>
        <v/>
      </c>
      <c r="V33">
        <f>HYPERLINK("https://klasma.github.io/Logging_0181/klagomål/A 21726-2025 FSC-klagomål.docx", "A 21726-2025")</f>
        <v/>
      </c>
      <c r="W33">
        <f>HYPERLINK("https://klasma.github.io/Logging_0181/klagomålsmail/A 21726-2025 FSC-klagomål mail.docx", "A 21726-2025")</f>
        <v/>
      </c>
      <c r="X33">
        <f>HYPERLINK("https://klasma.github.io/Logging_0181/tillsyn/A 21726-2025 tillsynsbegäran.docx", "A 21726-2025")</f>
        <v/>
      </c>
      <c r="Y33">
        <f>HYPERLINK("https://klasma.github.io/Logging_0181/tillsynsmail/A 21726-2025 tillsynsbegäran mail.docx", "A 21726-2025")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45972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49850-2025</t>
        </is>
      </c>
      <c r="B35" s="1" t="n">
        <v>45940.48542824074</v>
      </c>
      <c r="C35" s="1" t="n">
        <v>45972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HYPERLINK("https://klasma.github.io/Logging_0181/artfynd/A 49850-2025 artfynd.xlsx", "A 49850-2025")</f>
        <v/>
      </c>
      <c r="T35">
        <f>HYPERLINK("https://klasma.github.io/Logging_0181/kartor/A 49850-2025 karta.png", "A 49850-2025")</f>
        <v/>
      </c>
      <c r="V35">
        <f>HYPERLINK("https://klasma.github.io/Logging_0181/klagomål/A 49850-2025 FSC-klagomål.docx", "A 49850-2025")</f>
        <v/>
      </c>
      <c r="W35">
        <f>HYPERLINK("https://klasma.github.io/Logging_0181/klagomålsmail/A 49850-2025 FSC-klagomål mail.docx", "A 49850-2025")</f>
        <v/>
      </c>
      <c r="X35">
        <f>HYPERLINK("https://klasma.github.io/Logging_0181/tillsyn/A 49850-2025 tillsynsbegäran.docx", "A 49850-2025")</f>
        <v/>
      </c>
      <c r="Y35">
        <f>HYPERLINK("https://klasma.github.io/Logging_0181/tillsynsmail/A 49850-2025 tillsynsbegäran mail.docx", "A 49850-2025")</f>
        <v/>
      </c>
    </row>
    <row r="36" ht="15" customHeight="1">
      <c r="A36" t="inlineStr">
        <is>
          <t>A 23772-2025</t>
        </is>
      </c>
      <c r="B36" s="1" t="n">
        <v>45793.48637731482</v>
      </c>
      <c r="C36" s="1" t="n">
        <v>45972</v>
      </c>
      <c r="D36" t="inlineStr">
        <is>
          <t>STOCKHOLMS LÄN</t>
        </is>
      </c>
      <c r="E36" t="inlineStr">
        <is>
          <t>SÖDERTÄLJE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HYPERLINK("https://klasma.github.io/Logging_0181/artfynd/A 23772-2025 artfynd.xlsx", "A 23772-2025")</f>
        <v/>
      </c>
      <c r="T36">
        <f>HYPERLINK("https://klasma.github.io/Logging_0181/kartor/A 23772-2025 karta.png", "A 23772-2025")</f>
        <v/>
      </c>
      <c r="V36">
        <f>HYPERLINK("https://klasma.github.io/Logging_0181/klagomål/A 23772-2025 FSC-klagomål.docx", "A 23772-2025")</f>
        <v/>
      </c>
      <c r="W36">
        <f>HYPERLINK("https://klasma.github.io/Logging_0181/klagomålsmail/A 23772-2025 FSC-klagomål mail.docx", "A 23772-2025")</f>
        <v/>
      </c>
      <c r="X36">
        <f>HYPERLINK("https://klasma.github.io/Logging_0181/tillsyn/A 23772-2025 tillsynsbegäran.docx", "A 23772-2025")</f>
        <v/>
      </c>
      <c r="Y36">
        <f>HYPERLINK("https://klasma.github.io/Logging_0181/tillsynsmail/A 23772-2025 tillsynsbegäran mail.docx", "A 23772-2025")</f>
        <v/>
      </c>
      <c r="Z36">
        <f>HYPERLINK("https://klasma.github.io/Logging_0181/fåglar/A 23772-2025 prioriterade fågelarter.docx", "A 23772-2025")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45972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45972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45972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45972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45972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45972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45972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45972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45972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45972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45972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45972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45972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45972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45972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45972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45972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28136-2021</t>
        </is>
      </c>
      <c r="B54" s="1" t="n">
        <v>44355</v>
      </c>
      <c r="C54" s="1" t="n">
        <v>45972</v>
      </c>
      <c r="D54" t="inlineStr">
        <is>
          <t>STOCKHOLMS LÄN</t>
        </is>
      </c>
      <c r="E54" t="inlineStr">
        <is>
          <t>SÖDERTÄLJE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45972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45972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45972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45972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45972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45972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45972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45972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45972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45972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45184-2022</t>
        </is>
      </c>
      <c r="B65" s="1" t="n">
        <v>44844.39888888889</v>
      </c>
      <c r="C65" s="1" t="n">
        <v>45972</v>
      </c>
      <c r="D65" t="inlineStr">
        <is>
          <t>STOCKHOLMS LÄN</t>
        </is>
      </c>
      <c r="E65" t="inlineStr">
        <is>
          <t>SÖDERTÄLJE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45972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45674-2021</t>
        </is>
      </c>
      <c r="B67" s="1" t="n">
        <v>44441</v>
      </c>
      <c r="C67" s="1" t="n">
        <v>45972</v>
      </c>
      <c r="D67" t="inlineStr">
        <is>
          <t>STOCKHOLMS LÄN</t>
        </is>
      </c>
      <c r="E67" t="inlineStr">
        <is>
          <t>SÖDERTÄLJE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45972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1759-2025</t>
        </is>
      </c>
      <c r="B69" s="1" t="n">
        <v>45671.42385416666</v>
      </c>
      <c r="C69" s="1" t="n">
        <v>45972</v>
      </c>
      <c r="D69" t="inlineStr">
        <is>
          <t>STOCKHOLMS LÄN</t>
        </is>
      </c>
      <c r="E69" t="inlineStr">
        <is>
          <t>SÖDERTÄLJE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12901-2021</t>
        </is>
      </c>
      <c r="B70" s="1" t="n">
        <v>44271</v>
      </c>
      <c r="C70" s="1" t="n">
        <v>45972</v>
      </c>
      <c r="D70" t="inlineStr">
        <is>
          <t>STOCKHOLMS LÄN</t>
        </is>
      </c>
      <c r="E70" t="inlineStr">
        <is>
          <t>SÖDERTÄLJE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1016-2022</t>
        </is>
      </c>
      <c r="B71" s="1" t="n">
        <v>44571</v>
      </c>
      <c r="C71" s="1" t="n">
        <v>45972</v>
      </c>
      <c r="D71" t="inlineStr">
        <is>
          <t>STOCKHOLMS LÄN</t>
        </is>
      </c>
      <c r="E71" t="inlineStr">
        <is>
          <t>SÖDERTÄLJE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18592-2023</t>
        </is>
      </c>
      <c r="B72" s="1" t="n">
        <v>45043</v>
      </c>
      <c r="C72" s="1" t="n">
        <v>45972</v>
      </c>
      <c r="D72" t="inlineStr">
        <is>
          <t>STOCKHOLMS LÄN</t>
        </is>
      </c>
      <c r="E72" t="inlineStr">
        <is>
          <t>SÖDERTÄLJE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32044-2023</t>
        </is>
      </c>
      <c r="B73" s="1" t="n">
        <v>45119</v>
      </c>
      <c r="C73" s="1" t="n">
        <v>45972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35113-2023</t>
        </is>
      </c>
      <c r="B74" s="1" t="n">
        <v>45145</v>
      </c>
      <c r="C74" s="1" t="n">
        <v>45972</v>
      </c>
      <c r="D74" t="inlineStr">
        <is>
          <t>STOCKHOLMS LÄN</t>
        </is>
      </c>
      <c r="E74" t="inlineStr">
        <is>
          <t>SÖDERTÄLJE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11319-2024</t>
        </is>
      </c>
      <c r="B75" s="1" t="n">
        <v>45371.91613425926</v>
      </c>
      <c r="C75" s="1" t="n">
        <v>45972</v>
      </c>
      <c r="D75" t="inlineStr">
        <is>
          <t>STOCKHOLMS LÄN</t>
        </is>
      </c>
      <c r="E75" t="inlineStr">
        <is>
          <t>SÖDERTÄLJE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8316-2025</t>
        </is>
      </c>
      <c r="B76" s="1" t="n">
        <v>45708.6225462963</v>
      </c>
      <c r="C76" s="1" t="n">
        <v>45972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42133-2023</t>
        </is>
      </c>
      <c r="B77" s="1" t="n">
        <v>45177.83136574074</v>
      </c>
      <c r="C77" s="1" t="n">
        <v>45972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28502-2023</t>
        </is>
      </c>
      <c r="B78" s="1" t="n">
        <v>45103</v>
      </c>
      <c r="C78" s="1" t="n">
        <v>45972</v>
      </c>
      <c r="D78" t="inlineStr">
        <is>
          <t>STOCKHOLMS LÄN</t>
        </is>
      </c>
      <c r="E78" t="inlineStr">
        <is>
          <t>SÖDERTÄLJE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55941-2023</t>
        </is>
      </c>
      <c r="B79" s="1" t="n">
        <v>45240</v>
      </c>
      <c r="C79" s="1" t="n">
        <v>45972</v>
      </c>
      <c r="D79" t="inlineStr">
        <is>
          <t>STOCKHOLMS LÄN</t>
        </is>
      </c>
      <c r="E79" t="inlineStr">
        <is>
          <t>SÖDERTÄLJE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56349-2023</t>
        </is>
      </c>
      <c r="B80" s="1" t="n">
        <v>45243</v>
      </c>
      <c r="C80" s="1" t="n">
        <v>45972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54596-2024</t>
        </is>
      </c>
      <c r="B81" s="1" t="n">
        <v>45617.6762037037</v>
      </c>
      <c r="C81" s="1" t="n">
        <v>45972</v>
      </c>
      <c r="D81" t="inlineStr">
        <is>
          <t>STOCKHOLMS LÄN</t>
        </is>
      </c>
      <c r="E81" t="inlineStr">
        <is>
          <t>SÖDERTÄLJE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37844-2022</t>
        </is>
      </c>
      <c r="B82" s="1" t="n">
        <v>44810</v>
      </c>
      <c r="C82" s="1" t="n">
        <v>45972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35145-2023</t>
        </is>
      </c>
      <c r="B83" s="1" t="n">
        <v>45145</v>
      </c>
      <c r="C83" s="1" t="n">
        <v>45972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58928-2022</t>
        </is>
      </c>
      <c r="B84" s="1" t="n">
        <v>44903</v>
      </c>
      <c r="C84" s="1" t="n">
        <v>45972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62320-2023</t>
        </is>
      </c>
      <c r="B85" s="1" t="n">
        <v>45267</v>
      </c>
      <c r="C85" s="1" t="n">
        <v>45972</v>
      </c>
      <c r="D85" t="inlineStr">
        <is>
          <t>STOCKHOLMS LÄN</t>
        </is>
      </c>
      <c r="E85" t="inlineStr">
        <is>
          <t>SÖDERTÄLJE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51026-2024</t>
        </is>
      </c>
      <c r="B86" s="1" t="n">
        <v>45603.4181712963</v>
      </c>
      <c r="C86" s="1" t="n">
        <v>45972</v>
      </c>
      <c r="D86" t="inlineStr">
        <is>
          <t>STOCKHOLMS LÄN</t>
        </is>
      </c>
      <c r="E86" t="inlineStr">
        <is>
          <t>SÖDERTÄLJE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28982-2024</t>
        </is>
      </c>
      <c r="B87" s="1" t="n">
        <v>45481.47568287037</v>
      </c>
      <c r="C87" s="1" t="n">
        <v>45972</v>
      </c>
      <c r="D87" t="inlineStr">
        <is>
          <t>STOCKHOLMS LÄN</t>
        </is>
      </c>
      <c r="E87" t="inlineStr">
        <is>
          <t>SÖDERTÄLJE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45972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56354-2023</t>
        </is>
      </c>
      <c r="B89" s="1" t="n">
        <v>45243</v>
      </c>
      <c r="C89" s="1" t="n">
        <v>45972</v>
      </c>
      <c r="D89" t="inlineStr">
        <is>
          <t>STOCKHOLMS LÄN</t>
        </is>
      </c>
      <c r="E89" t="inlineStr">
        <is>
          <t>SÖDERTÄLJE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3382-2024</t>
        </is>
      </c>
      <c r="B90" s="1" t="n">
        <v>45317</v>
      </c>
      <c r="C90" s="1" t="n">
        <v>45972</v>
      </c>
      <c r="D90" t="inlineStr">
        <is>
          <t>STOCKHOLMS LÄN</t>
        </is>
      </c>
      <c r="E90" t="inlineStr">
        <is>
          <t>SÖDERTÄLJE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26909-2024</t>
        </is>
      </c>
      <c r="B91" s="1" t="n">
        <v>45470</v>
      </c>
      <c r="C91" s="1" t="n">
        <v>45972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27771-2021</t>
        </is>
      </c>
      <c r="B92" s="1" t="n">
        <v>44354</v>
      </c>
      <c r="C92" s="1" t="n">
        <v>45972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45972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36886-2023</t>
        </is>
      </c>
      <c r="B94" s="1" t="n">
        <v>45154</v>
      </c>
      <c r="C94" s="1" t="n">
        <v>45972</v>
      </c>
      <c r="D94" t="inlineStr">
        <is>
          <t>STOCKHOLMS LÄN</t>
        </is>
      </c>
      <c r="E94" t="inlineStr">
        <is>
          <t>SÖDERTÄLJE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95-2024</t>
        </is>
      </c>
      <c r="B95" s="1" t="n">
        <v>45293</v>
      </c>
      <c r="C95" s="1" t="n">
        <v>45972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49956-2022</t>
        </is>
      </c>
      <c r="B96" s="1" t="n">
        <v>44865.37130787037</v>
      </c>
      <c r="C96" s="1" t="n">
        <v>45972</v>
      </c>
      <c r="D96" t="inlineStr">
        <is>
          <t>STOCKHOLMS LÄN</t>
        </is>
      </c>
      <c r="E96" t="inlineStr">
        <is>
          <t>SÖDERTÄLJE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45972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37842-2022</t>
        </is>
      </c>
      <c r="B98" s="1" t="n">
        <v>44810</v>
      </c>
      <c r="C98" s="1" t="n">
        <v>45972</v>
      </c>
      <c r="D98" t="inlineStr">
        <is>
          <t>STOCKHOLMS LÄN</t>
        </is>
      </c>
      <c r="E98" t="inlineStr">
        <is>
          <t>SÖDERTÄLJE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1381-2023</t>
        </is>
      </c>
      <c r="B99" s="1" t="n">
        <v>44936.68457175926</v>
      </c>
      <c r="C99" s="1" t="n">
        <v>45972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31212-2024</t>
        </is>
      </c>
      <c r="B100" s="1" t="n">
        <v>45503</v>
      </c>
      <c r="C100" s="1" t="n">
        <v>45972</v>
      </c>
      <c r="D100" t="inlineStr">
        <is>
          <t>STOCKHOLMS LÄN</t>
        </is>
      </c>
      <c r="E100" t="inlineStr">
        <is>
          <t>SÖDERTÄLJE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45972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35200-2023</t>
        </is>
      </c>
      <c r="B102" s="1" t="n">
        <v>45145</v>
      </c>
      <c r="C102" s="1" t="n">
        <v>45972</v>
      </c>
      <c r="D102" t="inlineStr">
        <is>
          <t>STOCKHOLMS LÄN</t>
        </is>
      </c>
      <c r="E102" t="inlineStr">
        <is>
          <t>SÖDERTÄLJE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34450-2021</t>
        </is>
      </c>
      <c r="B103" s="1" t="n">
        <v>44381</v>
      </c>
      <c r="C103" s="1" t="n">
        <v>45972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34193-2024</t>
        </is>
      </c>
      <c r="B104" s="1" t="n">
        <v>45524.46203703704</v>
      </c>
      <c r="C104" s="1" t="n">
        <v>45972</v>
      </c>
      <c r="D104" t="inlineStr">
        <is>
          <t>STOCKHOLMS LÄN</t>
        </is>
      </c>
      <c r="E104" t="inlineStr">
        <is>
          <t>SÖDERTÄLJE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25706-2023</t>
        </is>
      </c>
      <c r="B105" s="1" t="n">
        <v>45090</v>
      </c>
      <c r="C105" s="1" t="n">
        <v>45972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34194-2024</t>
        </is>
      </c>
      <c r="B106" s="1" t="n">
        <v>45524</v>
      </c>
      <c r="C106" s="1" t="n">
        <v>45972</v>
      </c>
      <c r="D106" t="inlineStr">
        <is>
          <t>STOCKHOLMS LÄN</t>
        </is>
      </c>
      <c r="E106" t="inlineStr">
        <is>
          <t>SÖDERTÄLJE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6157-2025</t>
        </is>
      </c>
      <c r="B107" s="1" t="n">
        <v>45698.40923611111</v>
      </c>
      <c r="C107" s="1" t="n">
        <v>45972</v>
      </c>
      <c r="D107" t="inlineStr">
        <is>
          <t>STOCKHOLMS LÄN</t>
        </is>
      </c>
      <c r="E107" t="inlineStr">
        <is>
          <t>SÖDERTÄLJE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46688-2021</t>
        </is>
      </c>
      <c r="B108" s="1" t="n">
        <v>44445.63403935185</v>
      </c>
      <c r="C108" s="1" t="n">
        <v>45972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47576-2023</t>
        </is>
      </c>
      <c r="B109" s="1" t="n">
        <v>45197</v>
      </c>
      <c r="C109" s="1" t="n">
        <v>45972</v>
      </c>
      <c r="D109" t="inlineStr">
        <is>
          <t>STOCKHOLMS LÄN</t>
        </is>
      </c>
      <c r="E109" t="inlineStr">
        <is>
          <t>SÖDERTÄLJE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23367-2024</t>
        </is>
      </c>
      <c r="B110" s="1" t="n">
        <v>45453</v>
      </c>
      <c r="C110" s="1" t="n">
        <v>45972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45972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47714-2023</t>
        </is>
      </c>
      <c r="B112" s="1" t="n">
        <v>45198</v>
      </c>
      <c r="C112" s="1" t="n">
        <v>45972</v>
      </c>
      <c r="D112" t="inlineStr">
        <is>
          <t>STOCKHOLMS LÄN</t>
        </is>
      </c>
      <c r="E112" t="inlineStr">
        <is>
          <t>SÖDERTÄLJE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60635-2024</t>
        </is>
      </c>
      <c r="B113" s="1" t="n">
        <v>45644.41744212963</v>
      </c>
      <c r="C113" s="1" t="n">
        <v>45972</v>
      </c>
      <c r="D113" t="inlineStr">
        <is>
          <t>STOCKHOLMS LÄN</t>
        </is>
      </c>
      <c r="E113" t="inlineStr">
        <is>
          <t>SÖDERTÄLJE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8323-2025</t>
        </is>
      </c>
      <c r="B114" s="1" t="n">
        <v>45708.6322337963</v>
      </c>
      <c r="C114" s="1" t="n">
        <v>45972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6886-2022</t>
        </is>
      </c>
      <c r="B115" s="1" t="n">
        <v>44602</v>
      </c>
      <c r="C115" s="1" t="n">
        <v>45972</v>
      </c>
      <c r="D115" t="inlineStr">
        <is>
          <t>STOCKHOLMS LÄN</t>
        </is>
      </c>
      <c r="E115" t="inlineStr">
        <is>
          <t>SÖDERTÄLJE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72218-2021</t>
        </is>
      </c>
      <c r="B116" s="1" t="n">
        <v>44544.76424768518</v>
      </c>
      <c r="C116" s="1" t="n">
        <v>45972</v>
      </c>
      <c r="D116" t="inlineStr">
        <is>
          <t>STOCKHOLMS LÄN</t>
        </is>
      </c>
      <c r="E116" t="inlineStr">
        <is>
          <t>SÖDERTÄLJE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45972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487-2024</t>
        </is>
      </c>
      <c r="B118" s="1" t="n">
        <v>45298.85216435185</v>
      </c>
      <c r="C118" s="1" t="n">
        <v>45972</v>
      </c>
      <c r="D118" t="inlineStr">
        <is>
          <t>STOCKHOLMS LÄN</t>
        </is>
      </c>
      <c r="E118" t="inlineStr">
        <is>
          <t>SÖDERTÄLJE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57884-2021</t>
        </is>
      </c>
      <c r="B119" s="1" t="n">
        <v>44485</v>
      </c>
      <c r="C119" s="1" t="n">
        <v>45972</v>
      </c>
      <c r="D119" t="inlineStr">
        <is>
          <t>STOCKHOLMS LÄN</t>
        </is>
      </c>
      <c r="E119" t="inlineStr">
        <is>
          <t>SÖDERTÄLJE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16520-2025</t>
        </is>
      </c>
      <c r="B120" s="1" t="n">
        <v>45751.63434027778</v>
      </c>
      <c r="C120" s="1" t="n">
        <v>45972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45972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48046-2025</t>
        </is>
      </c>
      <c r="B122" s="1" t="n">
        <v>45932.67148148148</v>
      </c>
      <c r="C122" s="1" t="n">
        <v>45972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51931-2023</t>
        </is>
      </c>
      <c r="B123" s="1" t="n">
        <v>45216</v>
      </c>
      <c r="C123" s="1" t="n">
        <v>45972</v>
      </c>
      <c r="D123" t="inlineStr">
        <is>
          <t>STOCKHOLMS LÄN</t>
        </is>
      </c>
      <c r="E123" t="inlineStr">
        <is>
          <t>SÖDERTÄLJE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48342-2025</t>
        </is>
      </c>
      <c r="B124" s="1" t="n">
        <v>45933</v>
      </c>
      <c r="C124" s="1" t="n">
        <v>45972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954-2023</t>
        </is>
      </c>
      <c r="B125" s="1" t="n">
        <v>44934.7921875</v>
      </c>
      <c r="C125" s="1" t="n">
        <v>45972</v>
      </c>
      <c r="D125" t="inlineStr">
        <is>
          <t>STOCKHOLMS LÄN</t>
        </is>
      </c>
      <c r="E125" t="inlineStr">
        <is>
          <t>SÖDERTÄLJE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37536-2024</t>
        </is>
      </c>
      <c r="B126" s="1" t="n">
        <v>45541</v>
      </c>
      <c r="C126" s="1" t="n">
        <v>45972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28981-2023</t>
        </is>
      </c>
      <c r="B127" s="1" t="n">
        <v>45104</v>
      </c>
      <c r="C127" s="1" t="n">
        <v>45972</v>
      </c>
      <c r="D127" t="inlineStr">
        <is>
          <t>STOCKHOLMS LÄN</t>
        </is>
      </c>
      <c r="E127" t="inlineStr">
        <is>
          <t>SÖDERTÄLJE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16615-2024</t>
        </is>
      </c>
      <c r="B128" s="1" t="n">
        <v>45408</v>
      </c>
      <c r="C128" s="1" t="n">
        <v>45972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4440-2023</t>
        </is>
      </c>
      <c r="B129" s="1" t="n">
        <v>44956</v>
      </c>
      <c r="C129" s="1" t="n">
        <v>45972</v>
      </c>
      <c r="D129" t="inlineStr">
        <is>
          <t>STOCKHOLMS LÄN</t>
        </is>
      </c>
      <c r="E129" t="inlineStr">
        <is>
          <t>SÖDERTÄLJE</t>
        </is>
      </c>
      <c r="G129" t="n">
        <v>18.4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42339-2024</t>
        </is>
      </c>
      <c r="B130" s="1" t="n">
        <v>45562</v>
      </c>
      <c r="C130" s="1" t="n">
        <v>45972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Övriga statliga verk och myndigheter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22-2024</t>
        </is>
      </c>
      <c r="B131" s="1" t="n">
        <v>45293.40865740741</v>
      </c>
      <c r="C131" s="1" t="n">
        <v>45972</v>
      </c>
      <c r="D131" t="inlineStr">
        <is>
          <t>STOCKHOLMS LÄN</t>
        </is>
      </c>
      <c r="E131" t="inlineStr">
        <is>
          <t>SÖDERTÄLJE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2529-2023</t>
        </is>
      </c>
      <c r="B132" s="1" t="n">
        <v>44943.60554398148</v>
      </c>
      <c r="C132" s="1" t="n">
        <v>45972</v>
      </c>
      <c r="D132" t="inlineStr">
        <is>
          <t>STOCKHOLMS LÄN</t>
        </is>
      </c>
      <c r="E132" t="inlineStr">
        <is>
          <t>SÖDERTÄLJE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50059-2021</t>
        </is>
      </c>
      <c r="B133" s="1" t="n">
        <v>44455</v>
      </c>
      <c r="C133" s="1" t="n">
        <v>45972</v>
      </c>
      <c r="D133" t="inlineStr">
        <is>
          <t>STOCKHOLMS LÄN</t>
        </is>
      </c>
      <c r="E133" t="inlineStr">
        <is>
          <t>SÖDERTÄLJE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27970-2022</t>
        </is>
      </c>
      <c r="B134" s="1" t="n">
        <v>44744</v>
      </c>
      <c r="C134" s="1" t="n">
        <v>45972</v>
      </c>
      <c r="D134" t="inlineStr">
        <is>
          <t>STOCKHOLMS LÄN</t>
        </is>
      </c>
      <c r="E134" t="inlineStr">
        <is>
          <t>SÖDERTÄLJE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27972-2022</t>
        </is>
      </c>
      <c r="B135" s="1" t="n">
        <v>44744</v>
      </c>
      <c r="C135" s="1" t="n">
        <v>45972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11343-2025</t>
        </is>
      </c>
      <c r="B136" s="1" t="n">
        <v>45726.49932870371</v>
      </c>
      <c r="C136" s="1" t="n">
        <v>45972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24034-2022</t>
        </is>
      </c>
      <c r="B137" s="1" t="n">
        <v>44724</v>
      </c>
      <c r="C137" s="1" t="n">
        <v>45972</v>
      </c>
      <c r="D137" t="inlineStr">
        <is>
          <t>STOCKHOLMS LÄN</t>
        </is>
      </c>
      <c r="E137" t="inlineStr">
        <is>
          <t>SÖDERTÄLJE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45972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27969-2022</t>
        </is>
      </c>
      <c r="B139" s="1" t="n">
        <v>44744</v>
      </c>
      <c r="C139" s="1" t="n">
        <v>45972</v>
      </c>
      <c r="D139" t="inlineStr">
        <is>
          <t>STOCKHOLMS LÄN</t>
        </is>
      </c>
      <c r="E139" t="inlineStr">
        <is>
          <t>SÖDERTÄLJE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20091-2025</t>
        </is>
      </c>
      <c r="B140" s="1" t="n">
        <v>45771</v>
      </c>
      <c r="C140" s="1" t="n">
        <v>45972</v>
      </c>
      <c r="D140" t="inlineStr">
        <is>
          <t>STOCKHOLMS LÄN</t>
        </is>
      </c>
      <c r="E140" t="inlineStr">
        <is>
          <t>SÖDERTÄLJE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51082-2024</t>
        </is>
      </c>
      <c r="B141" s="1" t="n">
        <v>45603.46126157408</v>
      </c>
      <c r="C141" s="1" t="n">
        <v>45972</v>
      </c>
      <c r="D141" t="inlineStr">
        <is>
          <t>STOCKHOLMS LÄN</t>
        </is>
      </c>
      <c r="E141" t="inlineStr">
        <is>
          <t>SÖDERTÄLJE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9891-2025</t>
        </is>
      </c>
      <c r="B142" s="1" t="n">
        <v>45716.70479166666</v>
      </c>
      <c r="C142" s="1" t="n">
        <v>45972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57010-2024</t>
        </is>
      </c>
      <c r="B143" s="1" t="n">
        <v>45628</v>
      </c>
      <c r="C143" s="1" t="n">
        <v>45972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3108-2024</t>
        </is>
      </c>
      <c r="B144" s="1" t="n">
        <v>45316</v>
      </c>
      <c r="C144" s="1" t="n">
        <v>45972</v>
      </c>
      <c r="D144" t="inlineStr">
        <is>
          <t>STOCKHOLMS LÄN</t>
        </is>
      </c>
      <c r="E144" t="inlineStr">
        <is>
          <t>SÖDERTÄLJE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33892-2022</t>
        </is>
      </c>
      <c r="B145" s="1" t="n">
        <v>44790.60921296296</v>
      </c>
      <c r="C145" s="1" t="n">
        <v>45972</v>
      </c>
      <c r="D145" t="inlineStr">
        <is>
          <t>STOCKHOLMS LÄN</t>
        </is>
      </c>
      <c r="E145" t="inlineStr">
        <is>
          <t>SÖDERTÄLJE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41111-2023</t>
        </is>
      </c>
      <c r="B146" s="1" t="n">
        <v>45173.74025462963</v>
      </c>
      <c r="C146" s="1" t="n">
        <v>45972</v>
      </c>
      <c r="D146" t="inlineStr">
        <is>
          <t>STOCKHOLMS LÄN</t>
        </is>
      </c>
      <c r="E146" t="inlineStr">
        <is>
          <t>SÖDERTÄLJE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41115-2023</t>
        </is>
      </c>
      <c r="B147" s="1" t="n">
        <v>45173</v>
      </c>
      <c r="C147" s="1" t="n">
        <v>45972</v>
      </c>
      <c r="D147" t="inlineStr">
        <is>
          <t>STOCKHOLMS LÄN</t>
        </is>
      </c>
      <c r="E147" t="inlineStr">
        <is>
          <t>SÖDERTÄLJE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17979-2024</t>
        </is>
      </c>
      <c r="B148" s="1" t="n">
        <v>45419.86915509259</v>
      </c>
      <c r="C148" s="1" t="n">
        <v>45972</v>
      </c>
      <c r="D148" t="inlineStr">
        <is>
          <t>STOCKHOLMS LÄN</t>
        </is>
      </c>
      <c r="E148" t="inlineStr">
        <is>
          <t>SÖDERTÄLJE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47977-2022</t>
        </is>
      </c>
      <c r="B149" s="1" t="n">
        <v>44855</v>
      </c>
      <c r="C149" s="1" t="n">
        <v>45972</v>
      </c>
      <c r="D149" t="inlineStr">
        <is>
          <t>STOCKHOLMS LÄN</t>
        </is>
      </c>
      <c r="E149" t="inlineStr">
        <is>
          <t>SÖDERTÄLJE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19210-2024</t>
        </is>
      </c>
      <c r="B150" s="1" t="n">
        <v>45428.54665509259</v>
      </c>
      <c r="C150" s="1" t="n">
        <v>45972</v>
      </c>
      <c r="D150" t="inlineStr">
        <is>
          <t>STOCKHOLMS LÄN</t>
        </is>
      </c>
      <c r="E150" t="inlineStr">
        <is>
          <t>SÖDERTÄLJE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3585-2022</t>
        </is>
      </c>
      <c r="B151" s="1" t="n">
        <v>44586</v>
      </c>
      <c r="C151" s="1" t="n">
        <v>45972</v>
      </c>
      <c r="D151" t="inlineStr">
        <is>
          <t>STOCKHOLMS LÄN</t>
        </is>
      </c>
      <c r="E151" t="inlineStr">
        <is>
          <t>SÖDERTÄLJE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45972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41702-2025</t>
        </is>
      </c>
      <c r="B153" s="1" t="n">
        <v>45902.41623842593</v>
      </c>
      <c r="C153" s="1" t="n">
        <v>45972</v>
      </c>
      <c r="D153" t="inlineStr">
        <is>
          <t>STOCKHOLMS LÄN</t>
        </is>
      </c>
      <c r="E153" t="inlineStr">
        <is>
          <t>SÖDERTÄLJE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51353-2024</t>
        </is>
      </c>
      <c r="B154" s="1" t="n">
        <v>45604.36140046296</v>
      </c>
      <c r="C154" s="1" t="n">
        <v>45972</v>
      </c>
      <c r="D154" t="inlineStr">
        <is>
          <t>STOCKHOLMS LÄN</t>
        </is>
      </c>
      <c r="E154" t="inlineStr">
        <is>
          <t>SÖDERTÄLJE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25415-2025</t>
        </is>
      </c>
      <c r="B155" s="1" t="n">
        <v>45799</v>
      </c>
      <c r="C155" s="1" t="n">
        <v>45972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45972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45972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25414-2025</t>
        </is>
      </c>
      <c r="B158" s="1" t="n">
        <v>45799</v>
      </c>
      <c r="C158" s="1" t="n">
        <v>45972</v>
      </c>
      <c r="D158" t="inlineStr">
        <is>
          <t>STOCKHOLMS LÄN</t>
        </is>
      </c>
      <c r="E158" t="inlineStr">
        <is>
          <t>SÖDERTÄLJE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8320-2025</t>
        </is>
      </c>
      <c r="B159" s="1" t="n">
        <v>45708.62876157407</v>
      </c>
      <c r="C159" s="1" t="n">
        <v>45972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45972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28346-2025</t>
        </is>
      </c>
      <c r="B161" s="1" t="n">
        <v>45818.70325231482</v>
      </c>
      <c r="C161" s="1" t="n">
        <v>45972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56596-2023</t>
        </is>
      </c>
      <c r="B162" s="1" t="n">
        <v>45243</v>
      </c>
      <c r="C162" s="1" t="n">
        <v>45972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29336-2025</t>
        </is>
      </c>
      <c r="B163" s="1" t="n">
        <v>45824.49658564815</v>
      </c>
      <c r="C163" s="1" t="n">
        <v>45972</v>
      </c>
      <c r="D163" t="inlineStr">
        <is>
          <t>STOCKHOLMS LÄN</t>
        </is>
      </c>
      <c r="E163" t="inlineStr">
        <is>
          <t>SÖDERTÄLJE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55940-2023</t>
        </is>
      </c>
      <c r="B164" s="1" t="n">
        <v>45240.30215277777</v>
      </c>
      <c r="C164" s="1" t="n">
        <v>45972</v>
      </c>
      <c r="D164" t="inlineStr">
        <is>
          <t>STOCKHOLMS LÄN</t>
        </is>
      </c>
      <c r="E164" t="inlineStr">
        <is>
          <t>SÖDERTÄLJE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29770-2025</t>
        </is>
      </c>
      <c r="B165" s="1" t="n">
        <v>45825.62880787037</v>
      </c>
      <c r="C165" s="1" t="n">
        <v>45972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45972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45972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31086-2025</t>
        </is>
      </c>
      <c r="B168" s="1" t="n">
        <v>45832.59052083334</v>
      </c>
      <c r="C168" s="1" t="n">
        <v>45972</v>
      </c>
      <c r="D168" t="inlineStr">
        <is>
          <t>STOCKHOLMS LÄN</t>
        </is>
      </c>
      <c r="E168" t="inlineStr">
        <is>
          <t>SÖDERTÄLJE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58140-2023</t>
        </is>
      </c>
      <c r="B169" s="1" t="n">
        <v>45250</v>
      </c>
      <c r="C169" s="1" t="n">
        <v>45972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26812-2022</t>
        </is>
      </c>
      <c r="B170" s="1" t="n">
        <v>44740</v>
      </c>
      <c r="C170" s="1" t="n">
        <v>45972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10280-2025</t>
        </is>
      </c>
      <c r="B171" s="1" t="n">
        <v>45720.40354166667</v>
      </c>
      <c r="C171" s="1" t="n">
        <v>45972</v>
      </c>
      <c r="D171" t="inlineStr">
        <is>
          <t>STOCKHOLMS LÄN</t>
        </is>
      </c>
      <c r="E171" t="inlineStr">
        <is>
          <t>SÖDERTÄLJE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62311-2023</t>
        </is>
      </c>
      <c r="B172" s="1" t="n">
        <v>45266</v>
      </c>
      <c r="C172" s="1" t="n">
        <v>45972</v>
      </c>
      <c r="D172" t="inlineStr">
        <is>
          <t>STOCKHOLMS LÄN</t>
        </is>
      </c>
      <c r="E172" t="inlineStr">
        <is>
          <t>SÖDERTÄLJE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45972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45972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45972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45972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45972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49136-2021</t>
        </is>
      </c>
      <c r="B178" s="1" t="n">
        <v>44453.91797453703</v>
      </c>
      <c r="C178" s="1" t="n">
        <v>45972</v>
      </c>
      <c r="D178" t="inlineStr">
        <is>
          <t>STOCKHOLMS LÄN</t>
        </is>
      </c>
      <c r="E178" t="inlineStr">
        <is>
          <t>SÖDERTÄLJE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54448-2025</t>
        </is>
      </c>
      <c r="B179" s="1" t="n">
        <v>45965</v>
      </c>
      <c r="C179" s="1" t="n">
        <v>45972</v>
      </c>
      <c r="D179" t="inlineStr">
        <is>
          <t>STOCKHOLMS LÄN</t>
        </is>
      </c>
      <c r="E179" t="inlineStr">
        <is>
          <t>SÖDERTÄLJE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35918-2022</t>
        </is>
      </c>
      <c r="B180" s="1" t="n">
        <v>44802</v>
      </c>
      <c r="C180" s="1" t="n">
        <v>45972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45972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34449-2021</t>
        </is>
      </c>
      <c r="B182" s="1" t="n">
        <v>44381.63587962963</v>
      </c>
      <c r="C182" s="1" t="n">
        <v>45972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16724-2022</t>
        </is>
      </c>
      <c r="B183" s="1" t="n">
        <v>44673</v>
      </c>
      <c r="C183" s="1" t="n">
        <v>45972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Övriga statliga verk och myndigheter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38194-2025</t>
        </is>
      </c>
      <c r="B184" s="1" t="n">
        <v>45882.65921296296</v>
      </c>
      <c r="C184" s="1" t="n">
        <v>45972</v>
      </c>
      <c r="D184" t="inlineStr">
        <is>
          <t>STOCKHOLMS LÄN</t>
        </is>
      </c>
      <c r="E184" t="inlineStr">
        <is>
          <t>SÖDERTÄLJE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42337-2024</t>
        </is>
      </c>
      <c r="B185" s="1" t="n">
        <v>45562</v>
      </c>
      <c r="C185" s="1" t="n">
        <v>45972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35906-2022</t>
        </is>
      </c>
      <c r="B186" s="1" t="n">
        <v>44802</v>
      </c>
      <c r="C186" s="1" t="n">
        <v>45972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2025-11-11T10:08:44Z</dcterms:created>
  <dcterms:modified xmlns:dcterms="http://purl.org/dc/terms/" xmlns:xsi="http://www.w3.org/2001/XMLSchema-instance" xsi:type="dcterms:W3CDTF">2025-11-11T10:08:44Z</dcterms:modified>
</cp:coreProperties>
</file>