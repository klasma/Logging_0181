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46190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46190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46190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46190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57411-2025</t>
        </is>
      </c>
      <c r="B6" s="1" t="n">
        <v>45980.4487037037</v>
      </c>
      <c r="C6" s="1" t="n">
        <v>46190</v>
      </c>
      <c r="D6" t="inlineStr">
        <is>
          <t>STOCKHOLMS LÄN</t>
        </is>
      </c>
      <c r="E6" t="inlineStr">
        <is>
          <t>SÖDERTÄLJE</t>
        </is>
      </c>
      <c r="G6" t="n">
        <v>3.5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Ullticka
Grön sköldmossa
Grönpyrola
Jättesvampmal
Trådticka
Blåsippa</t>
        </is>
      </c>
      <c r="S6">
        <f>HYPERLINK("https://klasma.github.io/Logging_0181/artfynd/A 57411-2025 artfynd.xlsx", "A 57411-2025")</f>
        <v/>
      </c>
      <c r="T6">
        <f>HYPERLINK("https://klasma.github.io/Logging_0181/kartor/A 57411-2025 karta.png", "A 57411-2025")</f>
        <v/>
      </c>
      <c r="V6">
        <f>HYPERLINK("https://klasma.github.io/Logging_0181/klagomål/A 57411-2025 FSC-klagomål.docx", "A 57411-2025")</f>
        <v/>
      </c>
      <c r="W6">
        <f>HYPERLINK("https://klasma.github.io/Logging_0181/klagomålsmail/A 57411-2025 FSC-klagomål mail.docx", "A 57411-2025")</f>
        <v/>
      </c>
      <c r="X6">
        <f>HYPERLINK("https://klasma.github.io/Logging_0181/tillsyn/A 57411-2025 tillsynsbegäran.docx", "A 57411-2025")</f>
        <v/>
      </c>
      <c r="Y6">
        <f>HYPERLINK("https://klasma.github.io/Logging_0181/tillsynsmail/A 57411-2025 tillsynsbegäran mail.docx", "A 57411-2025")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46190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23846-2026</t>
        </is>
      </c>
      <c r="B8" s="1" t="n">
        <v>46167.36409722222</v>
      </c>
      <c r="C8" s="1" t="n">
        <v>46190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11.2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Blåmossa
Flagellkvastmossa
Bred kärrtrollslända
Citronfläckad kärrtrollslända
Pudrad kärrtrollslända</t>
        </is>
      </c>
      <c r="S8">
        <f>HYPERLINK("https://klasma.github.io/Logging_0181/artfynd/A 23846-2026 artfynd.xlsx", "A 23846-2026")</f>
        <v/>
      </c>
      <c r="T8">
        <f>HYPERLINK("https://klasma.github.io/Logging_0181/kartor/A 23846-2026 karta.png", "A 23846-2026")</f>
        <v/>
      </c>
      <c r="V8">
        <f>HYPERLINK("https://klasma.github.io/Logging_0181/klagomål/A 23846-2026 FSC-klagomål.docx", "A 23846-2026")</f>
        <v/>
      </c>
      <c r="W8">
        <f>HYPERLINK("https://klasma.github.io/Logging_0181/klagomålsmail/A 23846-2026 FSC-klagomål mail.docx", "A 23846-2026")</f>
        <v/>
      </c>
      <c r="X8">
        <f>HYPERLINK("https://klasma.github.io/Logging_0181/tillsyn/A 23846-2026 tillsynsbegäran.docx", "A 23846-2026")</f>
        <v/>
      </c>
      <c r="Y8">
        <f>HYPERLINK("https://klasma.github.io/Logging_0181/tillsynsmail/A 23846-2026 tillsynsbegäran mail.docx", "A 23846-2026")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46190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2680-2026</t>
        </is>
      </c>
      <c r="B10" s="1" t="n">
        <v>46037.65403935185</v>
      </c>
      <c r="C10" s="1" t="n">
        <v>46190</v>
      </c>
      <c r="D10" t="inlineStr">
        <is>
          <t>STOCKHOLMS LÄN</t>
        </is>
      </c>
      <c r="E10" t="inlineStr">
        <is>
          <t>SÖDERTÄLJE</t>
        </is>
      </c>
      <c r="G10" t="n">
        <v>2.2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Klasefibbla
Svinrot
Springkorn
Svart trolldruva
Vårärt</t>
        </is>
      </c>
      <c r="S10">
        <f>HYPERLINK("https://klasma.github.io/Logging_0181/artfynd/A 2680-2026 artfynd.xlsx", "A 2680-2026")</f>
        <v/>
      </c>
      <c r="T10">
        <f>HYPERLINK("https://klasma.github.io/Logging_0181/kartor/A 2680-2026 karta.png", "A 2680-2026")</f>
        <v/>
      </c>
      <c r="V10">
        <f>HYPERLINK("https://klasma.github.io/Logging_0181/klagomål/A 2680-2026 FSC-klagomål.docx", "A 2680-2026")</f>
        <v/>
      </c>
      <c r="W10">
        <f>HYPERLINK("https://klasma.github.io/Logging_0181/klagomålsmail/A 2680-2026 FSC-klagomål mail.docx", "A 2680-2026")</f>
        <v/>
      </c>
      <c r="X10">
        <f>HYPERLINK("https://klasma.github.io/Logging_0181/tillsyn/A 2680-2026 tillsynsbegäran.docx", "A 2680-2026")</f>
        <v/>
      </c>
      <c r="Y10">
        <f>HYPERLINK("https://klasma.github.io/Logging_0181/tillsynsmail/A 2680-2026 tillsynsbegäran mail.docx", "A 2680-2026")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46190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46190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46190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46190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46190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46190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46190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46190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46190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46190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46190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46190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46190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46190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46190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46190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Druvfingersvampar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46190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46190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46190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51087-2023</t>
        </is>
      </c>
      <c r="B30" s="1" t="n">
        <v>45218.73296296296</v>
      </c>
      <c r="C30" s="1" t="n">
        <v>46190</v>
      </c>
      <c r="D30" t="inlineStr">
        <is>
          <t>STOCKHOLMS LÄN</t>
        </is>
      </c>
      <c r="E30" t="inlineStr">
        <is>
          <t>SÖDERTÄLJE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HYPERLINK("https://klasma.github.io/Logging_0181/artfynd/A 51087-2023 artfynd.xlsx", "A 51087-2023")</f>
        <v/>
      </c>
      <c r="T30">
        <f>HYPERLINK("https://klasma.github.io/Logging_0181/kartor/A 51087-2023 karta.png", "A 51087-2023")</f>
        <v/>
      </c>
      <c r="V30">
        <f>HYPERLINK("https://klasma.github.io/Logging_0181/klagomål/A 51087-2023 FSC-klagomål.docx", "A 51087-2023")</f>
        <v/>
      </c>
      <c r="W30">
        <f>HYPERLINK("https://klasma.github.io/Logging_0181/klagomålsmail/A 51087-2023 FSC-klagomål mail.docx", "A 51087-2023")</f>
        <v/>
      </c>
      <c r="X30">
        <f>HYPERLINK("https://klasma.github.io/Logging_0181/tillsyn/A 51087-2023 tillsynsbegäran.docx", "A 51087-2023")</f>
        <v/>
      </c>
      <c r="Y30">
        <f>HYPERLINK("https://klasma.github.io/Logging_0181/tillsynsmail/A 51087-2023 tillsynsbegäran mail.docx", "A 51087-2023")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46190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34449-2021</t>
        </is>
      </c>
      <c r="B32" s="1" t="n">
        <v>44381.63587962963</v>
      </c>
      <c r="C32" s="1" t="n">
        <v>46190</v>
      </c>
      <c r="D32" t="inlineStr">
        <is>
          <t>STOCKHOLMS LÄN</t>
        </is>
      </c>
      <c r="E32" t="inlineStr">
        <is>
          <t>SÖDERTÄLJE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HYPERLINK("https://klasma.github.io/Logging_0181/artfynd/A 34449-2021 artfynd.xlsx", "A 34449-2021")</f>
        <v/>
      </c>
      <c r="T32">
        <f>HYPERLINK("https://klasma.github.io/Logging_0181/kartor/A 34449-2021 karta.png", "A 34449-2021")</f>
        <v/>
      </c>
      <c r="V32">
        <f>HYPERLINK("https://klasma.github.io/Logging_0181/klagomål/A 34449-2021 FSC-klagomål.docx", "A 34449-2021")</f>
        <v/>
      </c>
      <c r="W32">
        <f>HYPERLINK("https://klasma.github.io/Logging_0181/klagomålsmail/A 34449-2021 FSC-klagomål mail.docx", "A 34449-2021")</f>
        <v/>
      </c>
      <c r="X32">
        <f>HYPERLINK("https://klasma.github.io/Logging_0181/tillsyn/A 34449-2021 tillsynsbegäran.docx", "A 34449-2021")</f>
        <v/>
      </c>
      <c r="Y32">
        <f>HYPERLINK("https://klasma.github.io/Logging_0181/tillsynsmail/A 34449-2021 tillsynsbegäran mail.docx", "A 34449-2021")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46190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46190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46190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46190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48341-2025</t>
        </is>
      </c>
      <c r="B37" s="1" t="n">
        <v>45933</v>
      </c>
      <c r="C37" s="1" t="n">
        <v>46190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statliga verk och myndigheter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bockrot</t>
        </is>
      </c>
      <c r="S37">
        <f>HYPERLINK("https://klasma.github.io/Logging_0181/artfynd/A 48341-2025 artfynd.xlsx", "A 48341-2025")</f>
        <v/>
      </c>
      <c r="T37">
        <f>HYPERLINK("https://klasma.github.io/Logging_0181/kartor/A 48341-2025 karta.png", "A 48341-2025")</f>
        <v/>
      </c>
      <c r="U37">
        <f>HYPERLINK("https://klasma.github.io/Logging_0181/knärot/A 48341-2025 karta knärot.png", "A 48341-2025")</f>
        <v/>
      </c>
      <c r="V37">
        <f>HYPERLINK("https://klasma.github.io/Logging_0181/klagomål/A 48341-2025 FSC-klagomål.docx", "A 48341-2025")</f>
        <v/>
      </c>
      <c r="W37">
        <f>HYPERLINK("https://klasma.github.io/Logging_0181/klagomålsmail/A 48341-2025 FSC-klagomål mail.docx", "A 48341-2025")</f>
        <v/>
      </c>
      <c r="X37">
        <f>HYPERLINK("https://klasma.github.io/Logging_0181/tillsyn/A 48341-2025 tillsynsbegäran.docx", "A 48341-2025")</f>
        <v/>
      </c>
      <c r="Y37">
        <f>HYPERLINK("https://klasma.github.io/Logging_0181/tillsynsmail/A 48341-2025 tillsynsbegäran mail.docx", "A 48341-2025")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46190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9205-2026</t>
        </is>
      </c>
      <c r="B39" s="1" t="n">
        <v>46070.41689814815</v>
      </c>
      <c r="C39" s="1" t="n">
        <v>46190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Gullgröppa</t>
        </is>
      </c>
      <c r="S39">
        <f>HYPERLINK("https://klasma.github.io/Logging_0181/artfynd/A 9205-2026 artfynd.xlsx", "A 9205-2026")</f>
        <v/>
      </c>
      <c r="T39">
        <f>HYPERLINK("https://klasma.github.io/Logging_0181/kartor/A 9205-2026 karta.png", "A 9205-2026")</f>
        <v/>
      </c>
      <c r="V39">
        <f>HYPERLINK("https://klasma.github.io/Logging_0181/klagomål/A 9205-2026 FSC-klagomål.docx", "A 9205-2026")</f>
        <v/>
      </c>
      <c r="W39">
        <f>HYPERLINK("https://klasma.github.io/Logging_0181/klagomålsmail/A 9205-2026 FSC-klagomål mail.docx", "A 9205-2026")</f>
        <v/>
      </c>
      <c r="X39">
        <f>HYPERLINK("https://klasma.github.io/Logging_0181/tillsyn/A 9205-2026 tillsynsbegäran.docx", "A 9205-2026")</f>
        <v/>
      </c>
      <c r="Y39">
        <f>HYPERLINK("https://klasma.github.io/Logging_0181/tillsynsmail/A 9205-2026 tillsynsbegäran mail.docx", "A 9205-2026")</f>
        <v/>
      </c>
    </row>
    <row r="40" ht="15" customHeight="1">
      <c r="A40" t="inlineStr">
        <is>
          <t>A 55044-2025</t>
        </is>
      </c>
      <c r="B40" s="1" t="n">
        <v>45967.66005787037</v>
      </c>
      <c r="C40" s="1" t="n">
        <v>46190</v>
      </c>
      <c r="D40" t="inlineStr">
        <is>
          <t>STOCKHOLMS LÄN</t>
        </is>
      </c>
      <c r="E40" t="inlineStr">
        <is>
          <t>SÖDERTÄLJE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55044-2025 artfynd.xlsx", "A 55044-2025")</f>
        <v/>
      </c>
      <c r="T40">
        <f>HYPERLINK("https://klasma.github.io/Logging_0181/kartor/A 55044-2025 karta.png", "A 55044-2025")</f>
        <v/>
      </c>
      <c r="V40">
        <f>HYPERLINK("https://klasma.github.io/Logging_0181/klagomål/A 55044-2025 FSC-klagomål.docx", "A 55044-2025")</f>
        <v/>
      </c>
      <c r="W40">
        <f>HYPERLINK("https://klasma.github.io/Logging_0181/klagomålsmail/A 55044-2025 FSC-klagomål mail.docx", "A 55044-2025")</f>
        <v/>
      </c>
      <c r="X40">
        <f>HYPERLINK("https://klasma.github.io/Logging_0181/tillsyn/A 55044-2025 tillsynsbegäran.docx", "A 55044-2025")</f>
        <v/>
      </c>
      <c r="Y40">
        <f>HYPERLINK("https://klasma.github.io/Logging_0181/tillsynsmail/A 55044-2025 tillsynsbegäran mail.docx", "A 55044-2025")</f>
        <v/>
      </c>
      <c r="Z40">
        <f>HYPERLINK("https://klasma.github.io/Logging_0181/fåglar/A 55044-2025 prioriterade fågelarter.docx", "A 55044-2025")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46190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46190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46190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46190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46190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46190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46190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46190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46190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46190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46190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46190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31429-2022</t>
        </is>
      </c>
      <c r="B53" s="1" t="n">
        <v>44774.85231481482</v>
      </c>
      <c r="C53" s="1" t="n">
        <v>46190</v>
      </c>
      <c r="D53" t="inlineStr">
        <is>
          <t>STOCKHOLMS LÄN</t>
        </is>
      </c>
      <c r="E53" t="inlineStr">
        <is>
          <t>SÖDERTÄLJE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16437-2022</t>
        </is>
      </c>
      <c r="B54" s="1" t="n">
        <v>44671</v>
      </c>
      <c r="C54" s="1" t="n">
        <v>46190</v>
      </c>
      <c r="D54" t="inlineStr">
        <is>
          <t>STOCKHOLMS LÄN</t>
        </is>
      </c>
      <c r="E54" t="inlineStr">
        <is>
          <t>SÖDERTÄLJE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4443-2023</t>
        </is>
      </c>
      <c r="B55" s="1" t="n">
        <v>44956.45393518519</v>
      </c>
      <c r="C55" s="1" t="n">
        <v>46190</v>
      </c>
      <c r="D55" t="inlineStr">
        <is>
          <t>STOCKHOLMS LÄN</t>
        </is>
      </c>
      <c r="E55" t="inlineStr">
        <is>
          <t>SÖDERTÄLJE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46190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46190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32044-2023</t>
        </is>
      </c>
      <c r="B58" s="1" t="n">
        <v>45119</v>
      </c>
      <c r="C58" s="1" t="n">
        <v>46190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46688-2021</t>
        </is>
      </c>
      <c r="B59" s="1" t="n">
        <v>44445.63403935185</v>
      </c>
      <c r="C59" s="1" t="n">
        <v>46190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55941-2023</t>
        </is>
      </c>
      <c r="B60" s="1" t="n">
        <v>45240</v>
      </c>
      <c r="C60" s="1" t="n">
        <v>46190</v>
      </c>
      <c r="D60" t="inlineStr">
        <is>
          <t>STOCKHOLMS LÄN</t>
        </is>
      </c>
      <c r="E60" t="inlineStr">
        <is>
          <t>SÖDERTÄLJE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28982-2024</t>
        </is>
      </c>
      <c r="B61" s="1" t="n">
        <v>45481.47568287037</v>
      </c>
      <c r="C61" s="1" t="n">
        <v>46190</v>
      </c>
      <c r="D61" t="inlineStr">
        <is>
          <t>STOCKHOLMS LÄN</t>
        </is>
      </c>
      <c r="E61" t="inlineStr">
        <is>
          <t>SÖDERTÄLJE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3585-2022</t>
        </is>
      </c>
      <c r="B62" s="1" t="n">
        <v>44586</v>
      </c>
      <c r="C62" s="1" t="n">
        <v>46190</v>
      </c>
      <c r="D62" t="inlineStr">
        <is>
          <t>STOCKHOLMS LÄN</t>
        </is>
      </c>
      <c r="E62" t="inlineStr">
        <is>
          <t>SÖDERTÄLJE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58928-2022</t>
        </is>
      </c>
      <c r="B63" s="1" t="n">
        <v>44903</v>
      </c>
      <c r="C63" s="1" t="n">
        <v>46190</v>
      </c>
      <c r="D63" t="inlineStr">
        <is>
          <t>STOCKHOLMS LÄN</t>
        </is>
      </c>
      <c r="E63" t="inlineStr">
        <is>
          <t>SÖDERTÄLJE</t>
        </is>
      </c>
      <c r="F63" t="inlineStr">
        <is>
          <t>Kommuner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23367-2024</t>
        </is>
      </c>
      <c r="B64" s="1" t="n">
        <v>45453</v>
      </c>
      <c r="C64" s="1" t="n">
        <v>46190</v>
      </c>
      <c r="D64" t="inlineStr">
        <is>
          <t>STOCKHOLMS LÄN</t>
        </is>
      </c>
      <c r="E64" t="inlineStr">
        <is>
          <t>SÖDERTÄLJE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62311-2023</t>
        </is>
      </c>
      <c r="B65" s="1" t="n">
        <v>45266</v>
      </c>
      <c r="C65" s="1" t="n">
        <v>46190</v>
      </c>
      <c r="D65" t="inlineStr">
        <is>
          <t>STOCKHOLMS LÄN</t>
        </is>
      </c>
      <c r="E65" t="inlineStr">
        <is>
          <t>SÖDERTÄLJE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9891-2025</t>
        </is>
      </c>
      <c r="B66" s="1" t="n">
        <v>45716.70479166666</v>
      </c>
      <c r="C66" s="1" t="n">
        <v>46190</v>
      </c>
      <c r="D66" t="inlineStr">
        <is>
          <t>STOCKHOLMS LÄN</t>
        </is>
      </c>
      <c r="E66" t="inlineStr">
        <is>
          <t>SÖDERTÄLJE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92-2024</t>
        </is>
      </c>
      <c r="B67" s="1" t="n">
        <v>45293</v>
      </c>
      <c r="C67" s="1" t="n">
        <v>46190</v>
      </c>
      <c r="D67" t="inlineStr">
        <is>
          <t>STOCKHOLMS LÄN</t>
        </is>
      </c>
      <c r="E67" t="inlineStr">
        <is>
          <t>SÖDERTÄLJE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12907-2024</t>
        </is>
      </c>
      <c r="B68" s="1" t="n">
        <v>45385</v>
      </c>
      <c r="C68" s="1" t="n">
        <v>46190</v>
      </c>
      <c r="D68" t="inlineStr">
        <is>
          <t>STOCKHOLMS LÄN</t>
        </is>
      </c>
      <c r="E68" t="inlineStr">
        <is>
          <t>SÖDERTÄLJE</t>
        </is>
      </c>
      <c r="G68" t="n">
        <v>11.9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26909-2024</t>
        </is>
      </c>
      <c r="B69" s="1" t="n">
        <v>45470</v>
      </c>
      <c r="C69" s="1" t="n">
        <v>46190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28502-2023</t>
        </is>
      </c>
      <c r="B70" s="1" t="n">
        <v>45103</v>
      </c>
      <c r="C70" s="1" t="n">
        <v>46190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9562-2025</t>
        </is>
      </c>
      <c r="B71" s="1" t="n">
        <v>45715.61215277778</v>
      </c>
      <c r="C71" s="1" t="n">
        <v>46190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8611-2023</t>
        </is>
      </c>
      <c r="B72" s="1" t="n">
        <v>44977</v>
      </c>
      <c r="C72" s="1" t="n">
        <v>46190</v>
      </c>
      <c r="D72" t="inlineStr">
        <is>
          <t>STOCKHOLMS LÄN</t>
        </is>
      </c>
      <c r="E72" t="inlineStr">
        <is>
          <t>SÖDERTÄLJE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3108-2024</t>
        </is>
      </c>
      <c r="B73" s="1" t="n">
        <v>45316</v>
      </c>
      <c r="C73" s="1" t="n">
        <v>46190</v>
      </c>
      <c r="D73" t="inlineStr">
        <is>
          <t>STOCKHOLMS LÄN</t>
        </is>
      </c>
      <c r="E73" t="inlineStr">
        <is>
          <t>SÖDERTÄLJE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42337-2024</t>
        </is>
      </c>
      <c r="B74" s="1" t="n">
        <v>45562</v>
      </c>
      <c r="C74" s="1" t="n">
        <v>46190</v>
      </c>
      <c r="D74" t="inlineStr">
        <is>
          <t>STOCKHOLMS LÄN</t>
        </is>
      </c>
      <c r="E74" t="inlineStr">
        <is>
          <t>SÖDERTÄLJE</t>
        </is>
      </c>
      <c r="F74" t="inlineStr">
        <is>
          <t>Övriga statliga verk och myndigheter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33892-2022</t>
        </is>
      </c>
      <c r="B75" s="1" t="n">
        <v>44790.60921296296</v>
      </c>
      <c r="C75" s="1" t="n">
        <v>46190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47977-2022</t>
        </is>
      </c>
      <c r="B76" s="1" t="n">
        <v>44855</v>
      </c>
      <c r="C76" s="1" t="n">
        <v>46190</v>
      </c>
      <c r="D76" t="inlineStr">
        <is>
          <t>STOCKHOLMS LÄN</t>
        </is>
      </c>
      <c r="E76" t="inlineStr">
        <is>
          <t>SÖDERTÄLJE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27970-2022</t>
        </is>
      </c>
      <c r="B77" s="1" t="n">
        <v>44744</v>
      </c>
      <c r="C77" s="1" t="n">
        <v>46190</v>
      </c>
      <c r="D77" t="inlineStr">
        <is>
          <t>STOCKHOLMS LÄN</t>
        </is>
      </c>
      <c r="E77" t="inlineStr">
        <is>
          <t>SÖDERTÄLJE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27972-2022</t>
        </is>
      </c>
      <c r="B78" s="1" t="n">
        <v>44744</v>
      </c>
      <c r="C78" s="1" t="n">
        <v>46190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18592-2023</t>
        </is>
      </c>
      <c r="B79" s="1" t="n">
        <v>45043</v>
      </c>
      <c r="C79" s="1" t="n">
        <v>46190</v>
      </c>
      <c r="D79" t="inlineStr">
        <is>
          <t>STOCKHOLMS LÄN</t>
        </is>
      </c>
      <c r="E79" t="inlineStr">
        <is>
          <t>SÖDERTÄLJE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1381-2023</t>
        </is>
      </c>
      <c r="B80" s="1" t="n">
        <v>44936.68457175926</v>
      </c>
      <c r="C80" s="1" t="n">
        <v>46190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17979-2024</t>
        </is>
      </c>
      <c r="B81" s="1" t="n">
        <v>45419.86915509259</v>
      </c>
      <c r="C81" s="1" t="n">
        <v>46190</v>
      </c>
      <c r="D81" t="inlineStr">
        <is>
          <t>STOCKHOLMS LÄN</t>
        </is>
      </c>
      <c r="E81" t="inlineStr">
        <is>
          <t>SÖDERTÄLJE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19210-2024</t>
        </is>
      </c>
      <c r="B82" s="1" t="n">
        <v>45428.54665509259</v>
      </c>
      <c r="C82" s="1" t="n">
        <v>46190</v>
      </c>
      <c r="D82" t="inlineStr">
        <is>
          <t>STOCKHOLMS LÄN</t>
        </is>
      </c>
      <c r="E82" t="inlineStr">
        <is>
          <t>SÖDERTÄLJE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56354-2023</t>
        </is>
      </c>
      <c r="B83" s="1" t="n">
        <v>45243</v>
      </c>
      <c r="C83" s="1" t="n">
        <v>46190</v>
      </c>
      <c r="D83" t="inlineStr">
        <is>
          <t>STOCKHOLMS LÄN</t>
        </is>
      </c>
      <c r="E83" t="inlineStr">
        <is>
          <t>SÖDERTÄLJE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31375-2024</t>
        </is>
      </c>
      <c r="B84" s="1" t="n">
        <v>45505</v>
      </c>
      <c r="C84" s="1" t="n">
        <v>46190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50059-2021</t>
        </is>
      </c>
      <c r="B85" s="1" t="n">
        <v>44455</v>
      </c>
      <c r="C85" s="1" t="n">
        <v>46190</v>
      </c>
      <c r="D85" t="inlineStr">
        <is>
          <t>STOCKHOLMS LÄN</t>
        </is>
      </c>
      <c r="E85" t="inlineStr">
        <is>
          <t>SÖDERTÄLJE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51353-2024</t>
        </is>
      </c>
      <c r="B86" s="1" t="n">
        <v>45604.36140046296</v>
      </c>
      <c r="C86" s="1" t="n">
        <v>46190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954-2023</t>
        </is>
      </c>
      <c r="B87" s="1" t="n">
        <v>44934.7921875</v>
      </c>
      <c r="C87" s="1" t="n">
        <v>46190</v>
      </c>
      <c r="D87" t="inlineStr">
        <is>
          <t>STOCKHOLMS LÄN</t>
        </is>
      </c>
      <c r="E87" t="inlineStr">
        <is>
          <t>SÖDERTÄLJE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35200-2023</t>
        </is>
      </c>
      <c r="B88" s="1" t="n">
        <v>45145</v>
      </c>
      <c r="C88" s="1" t="n">
        <v>46190</v>
      </c>
      <c r="D88" t="inlineStr">
        <is>
          <t>STOCKHOLMS LÄN</t>
        </is>
      </c>
      <c r="E88" t="inlineStr">
        <is>
          <t>SÖDERTÄLJE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11319-2024</t>
        </is>
      </c>
      <c r="B89" s="1" t="n">
        <v>45371.91613425926</v>
      </c>
      <c r="C89" s="1" t="n">
        <v>46190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46671-2021</t>
        </is>
      </c>
      <c r="B90" s="1" t="n">
        <v>44445</v>
      </c>
      <c r="C90" s="1" t="n">
        <v>46190</v>
      </c>
      <c r="D90" t="inlineStr">
        <is>
          <t>STOCKHOLMS LÄN</t>
        </is>
      </c>
      <c r="E90" t="inlineStr">
        <is>
          <t>SÖDERTÄLJE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56349-2023</t>
        </is>
      </c>
      <c r="B91" s="1" t="n">
        <v>45243</v>
      </c>
      <c r="C91" s="1" t="n">
        <v>46190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41111-2023</t>
        </is>
      </c>
      <c r="B92" s="1" t="n">
        <v>45173.74025462963</v>
      </c>
      <c r="C92" s="1" t="n">
        <v>46190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41115-2023</t>
        </is>
      </c>
      <c r="B93" s="1" t="n">
        <v>45173</v>
      </c>
      <c r="C93" s="1" t="n">
        <v>46190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3382-2024</t>
        </is>
      </c>
      <c r="B94" s="1" t="n">
        <v>45317</v>
      </c>
      <c r="C94" s="1" t="n">
        <v>46190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27969-2022</t>
        </is>
      </c>
      <c r="B95" s="1" t="n">
        <v>44744</v>
      </c>
      <c r="C95" s="1" t="n">
        <v>46190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58140-2023</t>
        </is>
      </c>
      <c r="B96" s="1" t="n">
        <v>45250</v>
      </c>
      <c r="C96" s="1" t="n">
        <v>46190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314-2022</t>
        </is>
      </c>
      <c r="B97" s="1" t="n">
        <v>44564</v>
      </c>
      <c r="C97" s="1" t="n">
        <v>46190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487-2024</t>
        </is>
      </c>
      <c r="B98" s="1" t="n">
        <v>45298.85216435185</v>
      </c>
      <c r="C98" s="1" t="n">
        <v>46190</v>
      </c>
      <c r="D98" t="inlineStr">
        <is>
          <t>STOCKHOLMS LÄN</t>
        </is>
      </c>
      <c r="E98" t="inlineStr">
        <is>
          <t>SÖDERTÄLJE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28981-2023</t>
        </is>
      </c>
      <c r="B99" s="1" t="n">
        <v>45104</v>
      </c>
      <c r="C99" s="1" t="n">
        <v>46190</v>
      </c>
      <c r="D99" t="inlineStr">
        <is>
          <t>STOCKHOLMS LÄN</t>
        </is>
      </c>
      <c r="E99" t="inlineStr">
        <is>
          <t>SÖDERTÄLJE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47576-2023</t>
        </is>
      </c>
      <c r="B100" s="1" t="n">
        <v>45197</v>
      </c>
      <c r="C100" s="1" t="n">
        <v>46190</v>
      </c>
      <c r="D100" t="inlineStr">
        <is>
          <t>STOCKHOLMS LÄN</t>
        </is>
      </c>
      <c r="E100" t="inlineStr">
        <is>
          <t>SÖDERTÄLJE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35906-2022</t>
        </is>
      </c>
      <c r="B101" s="1" t="n">
        <v>44802</v>
      </c>
      <c r="C101" s="1" t="n">
        <v>46190</v>
      </c>
      <c r="D101" t="inlineStr">
        <is>
          <t>STOCKHOLMS LÄN</t>
        </is>
      </c>
      <c r="E101" t="inlineStr">
        <is>
          <t>SÖDERTÄLJE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52815-2023</t>
        </is>
      </c>
      <c r="B102" s="1" t="n">
        <v>45226</v>
      </c>
      <c r="C102" s="1" t="n">
        <v>46190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41702-2025</t>
        </is>
      </c>
      <c r="B103" s="1" t="n">
        <v>45902.41623842593</v>
      </c>
      <c r="C103" s="1" t="n">
        <v>46190</v>
      </c>
      <c r="D103" t="inlineStr">
        <is>
          <t>STOCKHOLMS LÄN</t>
        </is>
      </c>
      <c r="E103" t="inlineStr">
        <is>
          <t>SÖDERTÄLJE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52101-2022</t>
        </is>
      </c>
      <c r="B104" s="1" t="n">
        <v>44873</v>
      </c>
      <c r="C104" s="1" t="n">
        <v>46190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42133-2023</t>
        </is>
      </c>
      <c r="B105" s="1" t="n">
        <v>45177.83136574074</v>
      </c>
      <c r="C105" s="1" t="n">
        <v>46190</v>
      </c>
      <c r="D105" t="inlineStr">
        <is>
          <t>STOCKHOLMS LÄN</t>
        </is>
      </c>
      <c r="E105" t="inlineStr">
        <is>
          <t>SÖDERTÄLJE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37844-2022</t>
        </is>
      </c>
      <c r="B106" s="1" t="n">
        <v>44810</v>
      </c>
      <c r="C106" s="1" t="n">
        <v>46190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36886-2023</t>
        </is>
      </c>
      <c r="B107" s="1" t="n">
        <v>45154</v>
      </c>
      <c r="C107" s="1" t="n">
        <v>46190</v>
      </c>
      <c r="D107" t="inlineStr">
        <is>
          <t>STOCKHOLMS LÄN</t>
        </is>
      </c>
      <c r="E107" t="inlineStr">
        <is>
          <t>SÖDERTÄLJE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60635-2024</t>
        </is>
      </c>
      <c r="B108" s="1" t="n">
        <v>45644.41744212963</v>
      </c>
      <c r="C108" s="1" t="n">
        <v>46190</v>
      </c>
      <c r="D108" t="inlineStr">
        <is>
          <t>STOCKHOLMS LÄN</t>
        </is>
      </c>
      <c r="E108" t="inlineStr">
        <is>
          <t>SÖDERTÄLJE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10263-2025</t>
        </is>
      </c>
      <c r="B109" s="1" t="n">
        <v>45720.38165509259</v>
      </c>
      <c r="C109" s="1" t="n">
        <v>46190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38194-2025</t>
        </is>
      </c>
      <c r="B110" s="1" t="n">
        <v>45882.65921296296</v>
      </c>
      <c r="C110" s="1" t="n">
        <v>46190</v>
      </c>
      <c r="D110" t="inlineStr">
        <is>
          <t>STOCKHOLMS LÄN</t>
        </is>
      </c>
      <c r="E110" t="inlineStr">
        <is>
          <t>SÖDERTÄLJE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62311-2023</t>
        </is>
      </c>
      <c r="B111" s="1" t="n">
        <v>45266</v>
      </c>
      <c r="C111" s="1" t="n">
        <v>46190</v>
      </c>
      <c r="D111" t="inlineStr">
        <is>
          <t>STOCKHOLMS LÄN</t>
        </is>
      </c>
      <c r="E111" t="inlineStr">
        <is>
          <t>SÖDERTÄLJE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25706-2023</t>
        </is>
      </c>
      <c r="B112" s="1" t="n">
        <v>45090</v>
      </c>
      <c r="C112" s="1" t="n">
        <v>46190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22-2024</t>
        </is>
      </c>
      <c r="B113" s="1" t="n">
        <v>45293.40865740741</v>
      </c>
      <c r="C113" s="1" t="n">
        <v>46190</v>
      </c>
      <c r="D113" t="inlineStr">
        <is>
          <t>STOCKHOLMS LÄN</t>
        </is>
      </c>
      <c r="E113" t="inlineStr">
        <is>
          <t>SÖDERTÄLJE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95-2024</t>
        </is>
      </c>
      <c r="B114" s="1" t="n">
        <v>45293</v>
      </c>
      <c r="C114" s="1" t="n">
        <v>46190</v>
      </c>
      <c r="D114" t="inlineStr">
        <is>
          <t>STOCKHOLMS LÄN</t>
        </is>
      </c>
      <c r="E114" t="inlineStr">
        <is>
          <t>SÖDERTÄLJE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49956-2022</t>
        </is>
      </c>
      <c r="B115" s="1" t="n">
        <v>44865.37130787037</v>
      </c>
      <c r="C115" s="1" t="n">
        <v>46190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60897-2025</t>
        </is>
      </c>
      <c r="B116" s="1" t="n">
        <v>45999.58038194444</v>
      </c>
      <c r="C116" s="1" t="n">
        <v>46190</v>
      </c>
      <c r="D116" t="inlineStr">
        <is>
          <t>STOCKHOLMS LÄN</t>
        </is>
      </c>
      <c r="E116" t="inlineStr">
        <is>
          <t>SÖDERTÄLJE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11343-2025</t>
        </is>
      </c>
      <c r="B117" s="1" t="n">
        <v>45726.49932870371</v>
      </c>
      <c r="C117" s="1" t="n">
        <v>46190</v>
      </c>
      <c r="D117" t="inlineStr">
        <is>
          <t>STOCKHOLMS LÄN</t>
        </is>
      </c>
      <c r="E117" t="inlineStr">
        <is>
          <t>SÖDERTÄLJE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54596-2024</t>
        </is>
      </c>
      <c r="B118" s="1" t="n">
        <v>45617.6762037037</v>
      </c>
      <c r="C118" s="1" t="n">
        <v>46190</v>
      </c>
      <c r="D118" t="inlineStr">
        <is>
          <t>STOCKHOLMS LÄN</t>
        </is>
      </c>
      <c r="E118" t="inlineStr">
        <is>
          <t>SÖDERTÄLJE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48342-2025</t>
        </is>
      </c>
      <c r="B119" s="1" t="n">
        <v>45933</v>
      </c>
      <c r="C119" s="1" t="n">
        <v>46190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16724-2022</t>
        </is>
      </c>
      <c r="B120" s="1" t="n">
        <v>44673</v>
      </c>
      <c r="C120" s="1" t="n">
        <v>46190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48046-2025</t>
        </is>
      </c>
      <c r="B121" s="1" t="n">
        <v>45932.67148148148</v>
      </c>
      <c r="C121" s="1" t="n">
        <v>46190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62047-2025</t>
        </is>
      </c>
      <c r="B122" s="1" t="n">
        <v>46006.30792824074</v>
      </c>
      <c r="C122" s="1" t="n">
        <v>46190</v>
      </c>
      <c r="D122" t="inlineStr">
        <is>
          <t>STOCKHOLMS LÄN</t>
        </is>
      </c>
      <c r="E122" t="inlineStr">
        <is>
          <t>SÖDERTÄLJE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62049-2025</t>
        </is>
      </c>
      <c r="B123" s="1" t="n">
        <v>46006.3159837963</v>
      </c>
      <c r="C123" s="1" t="n">
        <v>46190</v>
      </c>
      <c r="D123" t="inlineStr">
        <is>
          <t>STOCKHOLMS LÄN</t>
        </is>
      </c>
      <c r="E123" t="inlineStr">
        <is>
          <t>SÖDERTÄLJE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45145-2022</t>
        </is>
      </c>
      <c r="B124" s="1" t="n">
        <v>44844</v>
      </c>
      <c r="C124" s="1" t="n">
        <v>46190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42339-2024</t>
        </is>
      </c>
      <c r="B125" s="1" t="n">
        <v>45562</v>
      </c>
      <c r="C125" s="1" t="n">
        <v>46190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234-2026</t>
        </is>
      </c>
      <c r="B126" s="1" t="n">
        <v>46027.36018518519</v>
      </c>
      <c r="C126" s="1" t="n">
        <v>46190</v>
      </c>
      <c r="D126" t="inlineStr">
        <is>
          <t>STOCKHOLMS LÄN</t>
        </is>
      </c>
      <c r="E126" t="inlineStr">
        <is>
          <t>SÖDERTÄLJE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243-2026</t>
        </is>
      </c>
      <c r="B127" s="1" t="n">
        <v>46027.39109953704</v>
      </c>
      <c r="C127" s="1" t="n">
        <v>46190</v>
      </c>
      <c r="D127" t="inlineStr">
        <is>
          <t>STOCKHOLMS LÄN</t>
        </is>
      </c>
      <c r="E127" t="inlineStr">
        <is>
          <t>SÖDERTÄLJE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231-2026</t>
        </is>
      </c>
      <c r="B128" s="1" t="n">
        <v>46027.34201388889</v>
      </c>
      <c r="C128" s="1" t="n">
        <v>46190</v>
      </c>
      <c r="D128" t="inlineStr">
        <is>
          <t>STOCKHOLMS LÄN</t>
        </is>
      </c>
      <c r="E128" t="inlineStr">
        <is>
          <t>SÖDERTÄLJE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233-2026</t>
        </is>
      </c>
      <c r="B129" s="1" t="n">
        <v>46027.34767361111</v>
      </c>
      <c r="C129" s="1" t="n">
        <v>46190</v>
      </c>
      <c r="D129" t="inlineStr">
        <is>
          <t>STOCKHOLMS LÄN</t>
        </is>
      </c>
      <c r="E129" t="inlineStr">
        <is>
          <t>SÖDERTÄLJE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1150-2026</t>
        </is>
      </c>
      <c r="B130" s="1" t="n">
        <v>46030.98674768519</v>
      </c>
      <c r="C130" s="1" t="n">
        <v>46190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1696-2026</t>
        </is>
      </c>
      <c r="B131" s="1" t="n">
        <v>46034.59373842592</v>
      </c>
      <c r="C131" s="1" t="n">
        <v>46190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1715-2026</t>
        </is>
      </c>
      <c r="B132" s="1" t="n">
        <v>46034.60863425926</v>
      </c>
      <c r="C132" s="1" t="n">
        <v>46190</v>
      </c>
      <c r="D132" t="inlineStr">
        <is>
          <t>STOCKHOLMS LÄN</t>
        </is>
      </c>
      <c r="E132" t="inlineStr">
        <is>
          <t>SÖDERTÄLJE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48820-2022</t>
        </is>
      </c>
      <c r="B133" s="1" t="n">
        <v>44859</v>
      </c>
      <c r="C133" s="1" t="n">
        <v>46190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34193-2024</t>
        </is>
      </c>
      <c r="B134" s="1" t="n">
        <v>45524.46203703704</v>
      </c>
      <c r="C134" s="1" t="n">
        <v>46190</v>
      </c>
      <c r="D134" t="inlineStr">
        <is>
          <t>STOCKHOLMS LÄN</t>
        </is>
      </c>
      <c r="E134" t="inlineStr">
        <is>
          <t>SÖDERTÄLJE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2685-2026</t>
        </is>
      </c>
      <c r="B135" s="1" t="n">
        <v>46037.65710648148</v>
      </c>
      <c r="C135" s="1" t="n">
        <v>46190</v>
      </c>
      <c r="D135" t="inlineStr">
        <is>
          <t>STOCKHOLMS LÄN</t>
        </is>
      </c>
      <c r="E135" t="inlineStr">
        <is>
          <t>SÖDERTÄLJE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26812-2022</t>
        </is>
      </c>
      <c r="B136" s="1" t="n">
        <v>44740</v>
      </c>
      <c r="C136" s="1" t="n">
        <v>46190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62320-2023</t>
        </is>
      </c>
      <c r="B137" s="1" t="n">
        <v>45267</v>
      </c>
      <c r="C137" s="1" t="n">
        <v>46190</v>
      </c>
      <c r="D137" t="inlineStr">
        <is>
          <t>STOCKHOLMS LÄN</t>
        </is>
      </c>
      <c r="E137" t="inlineStr">
        <is>
          <t>SÖDERTÄLJE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7023-2026</t>
        </is>
      </c>
      <c r="B138" s="1" t="n">
        <v>46057.66645833333</v>
      </c>
      <c r="C138" s="1" t="n">
        <v>46190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57884-2021</t>
        </is>
      </c>
      <c r="B139" s="1" t="n">
        <v>44485</v>
      </c>
      <c r="C139" s="1" t="n">
        <v>46190</v>
      </c>
      <c r="D139" t="inlineStr">
        <is>
          <t>STOCKHOLMS LÄN</t>
        </is>
      </c>
      <c r="E139" t="inlineStr">
        <is>
          <t>SÖDERTÄLJE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8323-2025</t>
        </is>
      </c>
      <c r="B140" s="1" t="n">
        <v>45708.6322337963</v>
      </c>
      <c r="C140" s="1" t="n">
        <v>46190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6886-2022</t>
        </is>
      </c>
      <c r="B141" s="1" t="n">
        <v>44602</v>
      </c>
      <c r="C141" s="1" t="n">
        <v>46190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3152-2026</t>
        </is>
      </c>
      <c r="B142" s="1" t="n">
        <v>46041</v>
      </c>
      <c r="C142" s="1" t="n">
        <v>46190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9234-2026</t>
        </is>
      </c>
      <c r="B143" s="1" t="n">
        <v>46070.46931712963</v>
      </c>
      <c r="C143" s="1" t="n">
        <v>46190</v>
      </c>
      <c r="D143" t="inlineStr">
        <is>
          <t>STOCKHOLMS LÄN</t>
        </is>
      </c>
      <c r="E143" t="inlineStr">
        <is>
          <t>SÖDERTÄLJE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10327-2026</t>
        </is>
      </c>
      <c r="B144" s="1" t="n">
        <v>46076.66210648148</v>
      </c>
      <c r="C144" s="1" t="n">
        <v>46190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10414-2026</t>
        </is>
      </c>
      <c r="B145" s="1" t="n">
        <v>46077.34652777778</v>
      </c>
      <c r="C145" s="1" t="n">
        <v>46190</v>
      </c>
      <c r="D145" t="inlineStr">
        <is>
          <t>STOCKHOLMS LÄN</t>
        </is>
      </c>
      <c r="E145" t="inlineStr">
        <is>
          <t>SÖDERTÄLJE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10426-2026</t>
        </is>
      </c>
      <c r="B146" s="1" t="n">
        <v>46077.37449074074</v>
      </c>
      <c r="C146" s="1" t="n">
        <v>46190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10446-2026</t>
        </is>
      </c>
      <c r="B147" s="1" t="n">
        <v>46077.43023148148</v>
      </c>
      <c r="C147" s="1" t="n">
        <v>46190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10417-2026</t>
        </is>
      </c>
      <c r="B148" s="1" t="n">
        <v>46077.35170138889</v>
      </c>
      <c r="C148" s="1" t="n">
        <v>46190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10425-2026</t>
        </is>
      </c>
      <c r="B149" s="1" t="n">
        <v>46077.36981481482</v>
      </c>
      <c r="C149" s="1" t="n">
        <v>46190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10450-2026</t>
        </is>
      </c>
      <c r="B150" s="1" t="n">
        <v>46077.43619212963</v>
      </c>
      <c r="C150" s="1" t="n">
        <v>46190</v>
      </c>
      <c r="D150" t="inlineStr">
        <is>
          <t>STOCKHOLMS LÄN</t>
        </is>
      </c>
      <c r="E150" t="inlineStr">
        <is>
          <t>SÖDERTÄLJE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10452-2026</t>
        </is>
      </c>
      <c r="B151" s="1" t="n">
        <v>46077.43957175926</v>
      </c>
      <c r="C151" s="1" t="n">
        <v>46190</v>
      </c>
      <c r="D151" t="inlineStr">
        <is>
          <t>STOCKHOLMS LÄN</t>
        </is>
      </c>
      <c r="E151" t="inlineStr">
        <is>
          <t>SÖDERTÄLJE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10404-2026</t>
        </is>
      </c>
      <c r="B152" s="1" t="n">
        <v>46077.34288194445</v>
      </c>
      <c r="C152" s="1" t="n">
        <v>46190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10428-2026</t>
        </is>
      </c>
      <c r="B153" s="1" t="n">
        <v>46077.37820601852</v>
      </c>
      <c r="C153" s="1" t="n">
        <v>46190</v>
      </c>
      <c r="D153" t="inlineStr">
        <is>
          <t>STOCKHOLMS LÄN</t>
        </is>
      </c>
      <c r="E153" t="inlineStr">
        <is>
          <t>SÖDERTÄLJE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46190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35942-2022</t>
        </is>
      </c>
      <c r="B155" s="1" t="n">
        <v>44802</v>
      </c>
      <c r="C155" s="1" t="n">
        <v>46190</v>
      </c>
      <c r="D155" t="inlineStr">
        <is>
          <t>STOCKHOLMS LÄN</t>
        </is>
      </c>
      <c r="E155" t="inlineStr">
        <is>
          <t>SÖDERTÄLJE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3383-2024</t>
        </is>
      </c>
      <c r="B156" s="1" t="n">
        <v>45317</v>
      </c>
      <c r="C156" s="1" t="n">
        <v>46190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46190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12116-2026</t>
        </is>
      </c>
      <c r="B158" s="1" t="n">
        <v>46086.54368055556</v>
      </c>
      <c r="C158" s="1" t="n">
        <v>46190</v>
      </c>
      <c r="D158" t="inlineStr">
        <is>
          <t>STOCKHOLMS LÄN</t>
        </is>
      </c>
      <c r="E158" t="inlineStr">
        <is>
          <t>SÖDERTÄLJE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12121-2026</t>
        </is>
      </c>
      <c r="B159" s="1" t="n">
        <v>46086.54655092592</v>
      </c>
      <c r="C159" s="1" t="n">
        <v>46190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37842-2022</t>
        </is>
      </c>
      <c r="B160" s="1" t="n">
        <v>44810</v>
      </c>
      <c r="C160" s="1" t="n">
        <v>46190</v>
      </c>
      <c r="D160" t="inlineStr">
        <is>
          <t>STOCKHOLMS LÄN</t>
        </is>
      </c>
      <c r="E160" t="inlineStr">
        <is>
          <t>SÖDERTÄLJE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72218-2021</t>
        </is>
      </c>
      <c r="B161" s="1" t="n">
        <v>44544.76424768518</v>
      </c>
      <c r="C161" s="1" t="n">
        <v>46190</v>
      </c>
      <c r="D161" t="inlineStr">
        <is>
          <t>STOCKHOLMS LÄN</t>
        </is>
      </c>
      <c r="E161" t="inlineStr">
        <is>
          <t>SÖDERTÄLJE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49136-2021</t>
        </is>
      </c>
      <c r="B162" s="1" t="n">
        <v>44453.91797453703</v>
      </c>
      <c r="C162" s="1" t="n">
        <v>46190</v>
      </c>
      <c r="D162" t="inlineStr">
        <is>
          <t>STOCKHOLMS LÄN</t>
        </is>
      </c>
      <c r="E162" t="inlineStr">
        <is>
          <t>SÖDERTÄLJE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45674-2021</t>
        </is>
      </c>
      <c r="B163" s="1" t="n">
        <v>44441</v>
      </c>
      <c r="C163" s="1" t="n">
        <v>46190</v>
      </c>
      <c r="D163" t="inlineStr">
        <is>
          <t>STOCKHOLMS LÄN</t>
        </is>
      </c>
      <c r="E163" t="inlineStr">
        <is>
          <t>SÖDERTÄLJE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20530-2024</t>
        </is>
      </c>
      <c r="B164" s="1" t="n">
        <v>45435</v>
      </c>
      <c r="C164" s="1" t="n">
        <v>46190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35918-2022</t>
        </is>
      </c>
      <c r="B165" s="1" t="n">
        <v>44802</v>
      </c>
      <c r="C165" s="1" t="n">
        <v>46190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13943-2026</t>
        </is>
      </c>
      <c r="B166" s="1" t="n">
        <v>46098.53907407408</v>
      </c>
      <c r="C166" s="1" t="n">
        <v>46190</v>
      </c>
      <c r="D166" t="inlineStr">
        <is>
          <t>STOCKHOLMS LÄN</t>
        </is>
      </c>
      <c r="E166" t="inlineStr">
        <is>
          <t>SÖDERTÄLJE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55940-2023</t>
        </is>
      </c>
      <c r="B167" s="1" t="n">
        <v>45240.30215277777</v>
      </c>
      <c r="C167" s="1" t="n">
        <v>46190</v>
      </c>
      <c r="D167" t="inlineStr">
        <is>
          <t>STOCKHOLMS LÄN</t>
        </is>
      </c>
      <c r="E167" t="inlineStr">
        <is>
          <t>SÖDERTÄLJE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15964-2026</t>
        </is>
      </c>
      <c r="B168" s="1" t="n">
        <v>46108.33048611111</v>
      </c>
      <c r="C168" s="1" t="n">
        <v>46190</v>
      </c>
      <c r="D168" t="inlineStr">
        <is>
          <t>STOCKHOLMS LÄN</t>
        </is>
      </c>
      <c r="E168" t="inlineStr">
        <is>
          <t>SÖDERTÄLJE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21483-2026</t>
        </is>
      </c>
      <c r="B169" s="1" t="n">
        <v>46148</v>
      </c>
      <c r="C169" s="1" t="n">
        <v>46190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56596-2023</t>
        </is>
      </c>
      <c r="B170" s="1" t="n">
        <v>45243</v>
      </c>
      <c r="C170" s="1" t="n">
        <v>46190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51931-2023</t>
        </is>
      </c>
      <c r="B171" s="1" t="n">
        <v>45216</v>
      </c>
      <c r="C171" s="1" t="n">
        <v>46190</v>
      </c>
      <c r="D171" t="inlineStr">
        <is>
          <t>STOCKHOLMS LÄN</t>
        </is>
      </c>
      <c r="E171" t="inlineStr">
        <is>
          <t>SÖDERTÄLJE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34194-2024</t>
        </is>
      </c>
      <c r="B172" s="1" t="n">
        <v>45524</v>
      </c>
      <c r="C172" s="1" t="n">
        <v>46190</v>
      </c>
      <c r="D172" t="inlineStr">
        <is>
          <t>STOCKHOLMS LÄN</t>
        </is>
      </c>
      <c r="E172" t="inlineStr">
        <is>
          <t>SÖDERTÄLJE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4440-2023</t>
        </is>
      </c>
      <c r="B173" s="1" t="n">
        <v>44956</v>
      </c>
      <c r="C173" s="1" t="n">
        <v>46190</v>
      </c>
      <c r="D173" t="inlineStr">
        <is>
          <t>STOCKHOLMS LÄN</t>
        </is>
      </c>
      <c r="E173" t="inlineStr">
        <is>
          <t>SÖDERTÄLJE</t>
        </is>
      </c>
      <c r="G173" t="n">
        <v>18.4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1759-2025</t>
        </is>
      </c>
      <c r="B174" s="1" t="n">
        <v>45671.42385416666</v>
      </c>
      <c r="C174" s="1" t="n">
        <v>46190</v>
      </c>
      <c r="D174" t="inlineStr">
        <is>
          <t>STOCKHOLMS LÄN</t>
        </is>
      </c>
      <c r="E174" t="inlineStr">
        <is>
          <t>SÖDERTÄLJE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23357-2026</t>
        </is>
      </c>
      <c r="B175" s="1" t="n">
        <v>46162.61582175926</v>
      </c>
      <c r="C175" s="1" t="n">
        <v>46190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23632-2026</t>
        </is>
      </c>
      <c r="B176" s="1" t="n">
        <v>46163.77383101852</v>
      </c>
      <c r="C176" s="1" t="n">
        <v>46190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46190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2529-2023</t>
        </is>
      </c>
      <c r="B178" s="1" t="n">
        <v>44943.60554398148</v>
      </c>
      <c r="C178" s="1" t="n">
        <v>46190</v>
      </c>
      <c r="D178" t="inlineStr">
        <is>
          <t>STOCKHOLMS LÄN</t>
        </is>
      </c>
      <c r="E178" t="inlineStr">
        <is>
          <t>SÖDERTÄLJE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36112-2022</t>
        </is>
      </c>
      <c r="B179" s="1" t="n">
        <v>44802</v>
      </c>
      <c r="C179" s="1" t="n">
        <v>46190</v>
      </c>
      <c r="D179" t="inlineStr">
        <is>
          <t>STOCKHOLMS LÄN</t>
        </is>
      </c>
      <c r="E179" t="inlineStr">
        <is>
          <t>SÖDERTÄLJE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37536-2024</t>
        </is>
      </c>
      <c r="B180" s="1" t="n">
        <v>45541</v>
      </c>
      <c r="C180" s="1" t="n">
        <v>46190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19071-2026</t>
        </is>
      </c>
      <c r="B181" s="1" t="n">
        <v>46132.38078703704</v>
      </c>
      <c r="C181" s="1" t="n">
        <v>46190</v>
      </c>
      <c r="D181" t="inlineStr">
        <is>
          <t>STOCKHOLMS LÄN</t>
        </is>
      </c>
      <c r="E181" t="inlineStr">
        <is>
          <t>SÖDERTÄLJE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19078-2026</t>
        </is>
      </c>
      <c r="B182" s="1" t="n">
        <v>46132.38715277778</v>
      </c>
      <c r="C182" s="1" t="n">
        <v>46190</v>
      </c>
      <c r="D182" t="inlineStr">
        <is>
          <t>STOCKHOLMS LÄN</t>
        </is>
      </c>
      <c r="E182" t="inlineStr">
        <is>
          <t>SÖDERTÄLJE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35113-2023</t>
        </is>
      </c>
      <c r="B183" s="1" t="n">
        <v>45145</v>
      </c>
      <c r="C183" s="1" t="n">
        <v>46190</v>
      </c>
      <c r="D183" t="inlineStr">
        <is>
          <t>STOCKHOLMS LÄN</t>
        </is>
      </c>
      <c r="E183" t="inlineStr">
        <is>
          <t>SÖDERTÄLJE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25288-2026</t>
        </is>
      </c>
      <c r="B184" s="1" t="n">
        <v>46176.41239583334</v>
      </c>
      <c r="C184" s="1" t="n">
        <v>46190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25412-2025</t>
        </is>
      </c>
      <c r="B185" s="1" t="n">
        <v>45799</v>
      </c>
      <c r="C185" s="1" t="n">
        <v>46190</v>
      </c>
      <c r="D185" t="inlineStr">
        <is>
          <t>STOCKHOLMS LÄN</t>
        </is>
      </c>
      <c r="E185" t="inlineStr">
        <is>
          <t>SÖDERTÄLJE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25415-2025</t>
        </is>
      </c>
      <c r="B186" s="1" t="n">
        <v>45799</v>
      </c>
      <c r="C186" s="1" t="n">
        <v>46190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20603-2026</t>
        </is>
      </c>
      <c r="B187" s="1" t="n">
        <v>46140.67371527778</v>
      </c>
      <c r="C187" s="1" t="n">
        <v>46190</v>
      </c>
      <c r="D187" t="inlineStr">
        <is>
          <t>STOCKHOLMS LÄN</t>
        </is>
      </c>
      <c r="E187" t="inlineStr">
        <is>
          <t>SÖDERTÄLJE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20582-2026</t>
        </is>
      </c>
      <c r="B188" s="1" t="n">
        <v>46140.63724537037</v>
      </c>
      <c r="C188" s="1" t="n">
        <v>46190</v>
      </c>
      <c r="D188" t="inlineStr">
        <is>
          <t>STOCKHOLMS LÄN</t>
        </is>
      </c>
      <c r="E188" t="inlineStr">
        <is>
          <t>SÖDERTÄLJE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20596-2026</t>
        </is>
      </c>
      <c r="B189" s="1" t="n">
        <v>46140.65876157407</v>
      </c>
      <c r="C189" s="1" t="n">
        <v>46190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20579-2026</t>
        </is>
      </c>
      <c r="B190" s="1" t="n">
        <v>46140.63144675926</v>
      </c>
      <c r="C190" s="1" t="n">
        <v>46190</v>
      </c>
      <c r="D190" t="inlineStr">
        <is>
          <t>STOCKHOLMS LÄN</t>
        </is>
      </c>
      <c r="E190" t="inlineStr">
        <is>
          <t>SÖDERTÄLJE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20591-2026</t>
        </is>
      </c>
      <c r="B191" s="1" t="n">
        <v>46140.65243055556</v>
      </c>
      <c r="C191" s="1" t="n">
        <v>46190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27006-2026</t>
        </is>
      </c>
      <c r="B192" s="1" t="n">
        <v>46185.63237268518</v>
      </c>
      <c r="C192" s="1" t="n">
        <v>46190</v>
      </c>
      <c r="D192" t="inlineStr">
        <is>
          <t>STOCKHOLMS LÄN</t>
        </is>
      </c>
      <c r="E192" t="inlineStr">
        <is>
          <t>SÖDERTÄLJE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27257-2026</t>
        </is>
      </c>
      <c r="B193" s="1" t="n">
        <v>46188.5578587963</v>
      </c>
      <c r="C193" s="1" t="n">
        <v>46190</v>
      </c>
      <c r="D193" t="inlineStr">
        <is>
          <t>STOCKHOLMS LÄN</t>
        </is>
      </c>
      <c r="E193" t="inlineStr">
        <is>
          <t>SÖDERTÄLJE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2026-06-17T09:24:31Z</dcterms:created>
  <dcterms:modified xmlns:dcterms="http://purl.org/dc/terms/" xmlns:xsi="http://www.w3.org/2001/XMLSchema-instance" xsi:type="dcterms:W3CDTF">2026-06-17T09:24:31Z</dcterms:modified>
</cp:coreProperties>
</file>