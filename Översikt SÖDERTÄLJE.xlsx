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45985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45985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45985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45985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27971-2022</t>
        </is>
      </c>
      <c r="B13" s="1" t="n">
        <v>44744</v>
      </c>
      <c r="C13" s="1" t="n">
        <v>45985</v>
      </c>
      <c r="D13" t="inlineStr">
        <is>
          <t>STOCKHOLMS LÄN</t>
        </is>
      </c>
      <c r="E13" t="inlineStr">
        <is>
          <t>SÖDERTÄLJE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Blåmossa
Dropptaggsvamp</t>
        </is>
      </c>
      <c r="S13">
        <f>HYPERLINK("https://klasma.github.io/Logging_0181/artfynd/A 27971-2022 artfynd.xlsx", "A 27971-2022")</f>
        <v/>
      </c>
      <c r="T13">
        <f>HYPERLINK("https://klasma.github.io/Logging_0181/kartor/A 27971-2022 karta.png", "A 27971-2022")</f>
        <v/>
      </c>
      <c r="V13">
        <f>HYPERLINK("https://klasma.github.io/Logging_0181/klagomål/A 27971-2022 FSC-klagomål.docx", "A 27971-2022")</f>
        <v/>
      </c>
      <c r="W13">
        <f>HYPERLINK("https://klasma.github.io/Logging_0181/klagomålsmail/A 27971-2022 FSC-klagomål mail.docx", "A 27971-2022")</f>
        <v/>
      </c>
      <c r="X13">
        <f>HYPERLINK("https://klasma.github.io/Logging_0181/tillsyn/A 27971-2022 tillsynsbegäran.docx", "A 27971-2022")</f>
        <v/>
      </c>
      <c r="Y13">
        <f>HYPERLINK("https://klasma.github.io/Logging_0181/tillsynsmail/A 27971-2022 tillsynsbegäran mail.docx", "A 27971-2022")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45985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36502-2025</t>
        </is>
      </c>
      <c r="B15" s="1" t="n">
        <v>45869.56332175926</v>
      </c>
      <c r="C15" s="1" t="n">
        <v>45985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 taggsvamp
Tjäder</t>
        </is>
      </c>
      <c r="S15">
        <f>HYPERLINK("https://klasma.github.io/Logging_0181/artfynd/A 36502-2025 artfynd.xlsx", "A 36502-2025")</f>
        <v/>
      </c>
      <c r="T15">
        <f>HYPERLINK("https://klasma.github.io/Logging_0181/kartor/A 36502-2025 karta.png", "A 36502-2025")</f>
        <v/>
      </c>
      <c r="V15">
        <f>HYPERLINK("https://klasma.github.io/Logging_0181/klagomål/A 36502-2025 FSC-klagomål.docx", "A 36502-2025")</f>
        <v/>
      </c>
      <c r="W15">
        <f>HYPERLINK("https://klasma.github.io/Logging_0181/klagomålsmail/A 36502-2025 FSC-klagomål mail.docx", "A 36502-2025")</f>
        <v/>
      </c>
      <c r="X15">
        <f>HYPERLINK("https://klasma.github.io/Logging_0181/tillsyn/A 36502-2025 tillsynsbegäran.docx", "A 36502-2025")</f>
        <v/>
      </c>
      <c r="Y15">
        <f>HYPERLINK("https://klasma.github.io/Logging_0181/tillsynsmail/A 36502-2025 tillsynsbegäran mail.docx", "A 36502-2025")</f>
        <v/>
      </c>
      <c r="Z15">
        <f>HYPERLINK("https://klasma.github.io/Logging_0181/fåglar/A 36502-2025 prioriterade fågelarter.docx", "A 36502-2025")</f>
        <v/>
      </c>
    </row>
    <row r="16" ht="15" customHeight="1">
      <c r="A16" t="inlineStr">
        <is>
          <t>A 16535-2025</t>
        </is>
      </c>
      <c r="B16" s="1" t="n">
        <v>45751.65542824074</v>
      </c>
      <c r="C16" s="1" t="n">
        <v>45985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HYPERLINK("https://klasma.github.io/Logging_0181/artfynd/A 16535-2025 artfynd.xlsx", "A 16535-2025")</f>
        <v/>
      </c>
      <c r="T16">
        <f>HYPERLINK("https://klasma.github.io/Logging_0181/kartor/A 16535-2025 karta.png", "A 16535-2025")</f>
        <v/>
      </c>
      <c r="V16">
        <f>HYPERLINK("https://klasma.github.io/Logging_0181/klagomål/A 16535-2025 FSC-klagomål.docx", "A 16535-2025")</f>
        <v/>
      </c>
      <c r="W16">
        <f>HYPERLINK("https://klasma.github.io/Logging_0181/klagomålsmail/A 16535-2025 FSC-klagomål mail.docx", "A 16535-2025")</f>
        <v/>
      </c>
      <c r="X16">
        <f>HYPERLINK("https://klasma.github.io/Logging_0181/tillsyn/A 16535-2025 tillsynsbegäran.docx", "A 16535-2025")</f>
        <v/>
      </c>
      <c r="Y16">
        <f>HYPERLINK("https://klasma.github.io/Logging_0181/tillsynsmail/A 16535-2025 tillsynsbegäran mail.docx", "A 16535-2025")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45985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45985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45985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45985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45985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23772-2025</t>
        </is>
      </c>
      <c r="B22" s="1" t="n">
        <v>45793.48637731482</v>
      </c>
      <c r="C22" s="1" t="n">
        <v>45985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HYPERLINK("https://klasma.github.io/Logging_0181/artfynd/A 23772-2025 artfynd.xlsx", "A 23772-2025")</f>
        <v/>
      </c>
      <c r="T22">
        <f>HYPERLINK("https://klasma.github.io/Logging_0181/kartor/A 23772-2025 karta.png", "A 23772-2025")</f>
        <v/>
      </c>
      <c r="V22">
        <f>HYPERLINK("https://klasma.github.io/Logging_0181/klagomål/A 23772-2025 FSC-klagomål.docx", "A 23772-2025")</f>
        <v/>
      </c>
      <c r="W22">
        <f>HYPERLINK("https://klasma.github.io/Logging_0181/klagomålsmail/A 23772-2025 FSC-klagomål mail.docx", "A 23772-2025")</f>
        <v/>
      </c>
      <c r="X22">
        <f>HYPERLINK("https://klasma.github.io/Logging_0181/tillsyn/A 23772-2025 tillsynsbegäran.docx", "A 23772-2025")</f>
        <v/>
      </c>
      <c r="Y22">
        <f>HYPERLINK("https://klasma.github.io/Logging_0181/tillsynsmail/A 23772-2025 tillsynsbegäran mail.docx", "A 23772-2025")</f>
        <v/>
      </c>
      <c r="Z22">
        <f>HYPERLINK("https://klasma.github.io/Logging_0181/fåglar/A 23772-2025 prioriterade fågelarter.docx", "A 23772-2025")</f>
        <v/>
      </c>
    </row>
    <row r="23" ht="15" customHeight="1">
      <c r="A23" t="inlineStr">
        <is>
          <t>A 52046-2022</t>
        </is>
      </c>
      <c r="B23" s="1" t="n">
        <v>44868</v>
      </c>
      <c r="C23" s="1" t="n">
        <v>45985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HYPERLINK("https://klasma.github.io/Logging_0181/artfynd/A 52046-2022 artfynd.xlsx", "A 52046-2022")</f>
        <v/>
      </c>
      <c r="T23">
        <f>HYPERLINK("https://klasma.github.io/Logging_0181/kartor/A 52046-2022 karta.png", "A 52046-2022")</f>
        <v/>
      </c>
      <c r="V23">
        <f>HYPERLINK("https://klasma.github.io/Logging_0181/klagomål/A 52046-2022 FSC-klagomål.docx", "A 52046-2022")</f>
        <v/>
      </c>
      <c r="W23">
        <f>HYPERLINK("https://klasma.github.io/Logging_0181/klagomålsmail/A 52046-2022 FSC-klagomål mail.docx", "A 52046-2022")</f>
        <v/>
      </c>
      <c r="X23">
        <f>HYPERLINK("https://klasma.github.io/Logging_0181/tillsyn/A 52046-2022 tillsynsbegäran.docx", "A 52046-2022")</f>
        <v/>
      </c>
      <c r="Y23">
        <f>HYPERLINK("https://klasma.github.io/Logging_0181/tillsynsmail/A 52046-2022 tillsynsbegäran mail.docx", "A 52046-2022")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45985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12968-2024</t>
        </is>
      </c>
      <c r="B25" s="1" t="n">
        <v>45385.50599537037</v>
      </c>
      <c r="C25" s="1" t="n">
        <v>45985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HYPERLINK("https://klasma.github.io/Logging_0181/artfynd/A 12968-2024 artfynd.xlsx", "A 12968-2024")</f>
        <v/>
      </c>
      <c r="T25">
        <f>HYPERLINK("https://klasma.github.io/Logging_0181/kartor/A 12968-2024 karta.png", "A 12968-2024")</f>
        <v/>
      </c>
      <c r="V25">
        <f>HYPERLINK("https://klasma.github.io/Logging_0181/klagomål/A 12968-2024 FSC-klagomål.docx", "A 12968-2024")</f>
        <v/>
      </c>
      <c r="W25">
        <f>HYPERLINK("https://klasma.github.io/Logging_0181/klagomålsmail/A 12968-2024 FSC-klagomål mail.docx", "A 12968-2024")</f>
        <v/>
      </c>
      <c r="X25">
        <f>HYPERLINK("https://klasma.github.io/Logging_0181/tillsyn/A 12968-2024 tillsynsbegäran.docx", "A 12968-2024")</f>
        <v/>
      </c>
      <c r="Y25">
        <f>HYPERLINK("https://klasma.github.io/Logging_0181/tillsynsmail/A 12968-2024 tillsynsbegäran mail.docx", "A 12968-2024")</f>
        <v/>
      </c>
    </row>
    <row r="26" ht="15" customHeight="1">
      <c r="A26" t="inlineStr">
        <is>
          <t>A 35155-2023</t>
        </is>
      </c>
      <c r="B26" s="1" t="n">
        <v>45145</v>
      </c>
      <c r="C26" s="1" t="n">
        <v>45985</v>
      </c>
      <c r="D26" t="inlineStr">
        <is>
          <t>STOCKHOLMS LÄN</t>
        </is>
      </c>
      <c r="E26" t="inlineStr">
        <is>
          <t>SÖDERTÄLJE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HYPERLINK("https://klasma.github.io/Logging_0181/artfynd/A 35155-2023 artfynd.xlsx", "A 35155-2023")</f>
        <v/>
      </c>
      <c r="T26">
        <f>HYPERLINK("https://klasma.github.io/Logging_0181/kartor/A 35155-2023 karta.png", "A 35155-2023")</f>
        <v/>
      </c>
      <c r="V26">
        <f>HYPERLINK("https://klasma.github.io/Logging_0181/klagomål/A 35155-2023 FSC-klagomål.docx", "A 35155-2023")</f>
        <v/>
      </c>
      <c r="W26">
        <f>HYPERLINK("https://klasma.github.io/Logging_0181/klagomålsmail/A 35155-2023 FSC-klagomål mail.docx", "A 35155-2023")</f>
        <v/>
      </c>
      <c r="X26">
        <f>HYPERLINK("https://klasma.github.io/Logging_0181/tillsyn/A 35155-2023 tillsynsbegäran.docx", "A 35155-2023")</f>
        <v/>
      </c>
      <c r="Y26">
        <f>HYPERLINK("https://klasma.github.io/Logging_0181/tillsynsmail/A 35155-2023 tillsynsbegäran mail.docx", "A 35155-2023")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45985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45985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55044-2025</t>
        </is>
      </c>
      <c r="B29" s="1" t="n">
        <v>45967.66005787037</v>
      </c>
      <c r="C29" s="1" t="n">
        <v>45985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55044-2025 artfynd.xlsx", "A 55044-2025")</f>
        <v/>
      </c>
      <c r="T29">
        <f>HYPERLINK("https://klasma.github.io/Logging_0181/kartor/A 55044-2025 karta.png", "A 55044-2025")</f>
        <v/>
      </c>
      <c r="V29">
        <f>HYPERLINK("https://klasma.github.io/Logging_0181/klagomål/A 55044-2025 FSC-klagomål.docx", "A 55044-2025")</f>
        <v/>
      </c>
      <c r="W29">
        <f>HYPERLINK("https://klasma.github.io/Logging_0181/klagomålsmail/A 55044-2025 FSC-klagomål mail.docx", "A 55044-2025")</f>
        <v/>
      </c>
      <c r="X29">
        <f>HYPERLINK("https://klasma.github.io/Logging_0181/tillsyn/A 55044-2025 tillsynsbegäran.docx", "A 55044-2025")</f>
        <v/>
      </c>
      <c r="Y29">
        <f>HYPERLINK("https://klasma.github.io/Logging_0181/tillsynsmail/A 55044-2025 tillsynsbegäran mail.docx", "A 55044-2025")</f>
        <v/>
      </c>
      <c r="Z29">
        <f>HYPERLINK("https://klasma.github.io/Logging_0181/fåglar/A 55044-2025 prioriterade fågelarter.docx", "A 55044-2025")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45985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45985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49850-2025</t>
        </is>
      </c>
      <c r="B32" s="1" t="n">
        <v>45940.48542824074</v>
      </c>
      <c r="C32" s="1" t="n">
        <v>45985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HYPERLINK("https://klasma.github.io/Logging_0181/artfynd/A 49850-2025 artfynd.xlsx", "A 49850-2025")</f>
        <v/>
      </c>
      <c r="T32">
        <f>HYPERLINK("https://klasma.github.io/Logging_0181/kartor/A 49850-2025 karta.png", "A 49850-2025")</f>
        <v/>
      </c>
      <c r="V32">
        <f>HYPERLINK("https://klasma.github.io/Logging_0181/klagomål/A 49850-2025 FSC-klagomål.docx", "A 49850-2025")</f>
        <v/>
      </c>
      <c r="W32">
        <f>HYPERLINK("https://klasma.github.io/Logging_0181/klagomålsmail/A 49850-2025 FSC-klagomål mail.docx", "A 49850-2025")</f>
        <v/>
      </c>
      <c r="X32">
        <f>HYPERLINK("https://klasma.github.io/Logging_0181/tillsyn/A 49850-2025 tillsynsbegäran.docx", "A 49850-2025")</f>
        <v/>
      </c>
      <c r="Y32">
        <f>HYPERLINK("https://klasma.github.io/Logging_0181/tillsynsmail/A 49850-2025 tillsynsbegäran mail.docx", "A 49850-2025")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45985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45985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45985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45985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45985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45985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45985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26902-2024</t>
        </is>
      </c>
      <c r="B40" s="1" t="n">
        <v>45470</v>
      </c>
      <c r="C40" s="1" t="n">
        <v>45985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Persiljespindling</t>
        </is>
      </c>
      <c r="S40">
        <f>HYPERLINK("https://klasma.github.io/Logging_0181/artfynd/A 26902-2024 artfynd.xlsx", "A 26902-2024")</f>
        <v/>
      </c>
      <c r="T40">
        <f>HYPERLINK("https://klasma.github.io/Logging_0181/kartor/A 26902-2024 karta.png", "A 26902-2024")</f>
        <v/>
      </c>
      <c r="V40">
        <f>HYPERLINK("https://klasma.github.io/Logging_0181/klagomål/A 26902-2024 FSC-klagomål.docx", "A 26902-2024")</f>
        <v/>
      </c>
      <c r="W40">
        <f>HYPERLINK("https://klasma.github.io/Logging_0181/klagomålsmail/A 26902-2024 FSC-klagomål mail.docx", "A 26902-2024")</f>
        <v/>
      </c>
      <c r="X40">
        <f>HYPERLINK("https://klasma.github.io/Logging_0181/tillsyn/A 26902-2024 tillsynsbegäran.docx", "A 26902-2024")</f>
        <v/>
      </c>
      <c r="Y40">
        <f>HYPERLINK("https://klasma.github.io/Logging_0181/tillsynsmail/A 26902-2024 tillsynsbegäran mail.docx", "A 26902-2024")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45985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45985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45985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45985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45985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45985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45985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45985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45985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3596-2022</t>
        </is>
      </c>
      <c r="B50" s="1" t="n">
        <v>44586</v>
      </c>
      <c r="C50" s="1" t="n">
        <v>45985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45985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45985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45985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45985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45985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45985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45985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45985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45985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18592-2023</t>
        </is>
      </c>
      <c r="B66" s="1" t="n">
        <v>45043</v>
      </c>
      <c r="C66" s="1" t="n">
        <v>45985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45985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45985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45985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17979-2024</t>
        </is>
      </c>
      <c r="B70" s="1" t="n">
        <v>45419.86915509259</v>
      </c>
      <c r="C70" s="1" t="n">
        <v>45985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45985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19210-2024</t>
        </is>
      </c>
      <c r="B72" s="1" t="n">
        <v>45428.54665509259</v>
      </c>
      <c r="C72" s="1" t="n">
        <v>45985</v>
      </c>
      <c r="D72" t="inlineStr">
        <is>
          <t>STOCKHOLMS LÄN</t>
        </is>
      </c>
      <c r="E72" t="inlineStr">
        <is>
          <t>SÖDERTÄLJE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56349-2023</t>
        </is>
      </c>
      <c r="B73" s="1" t="n">
        <v>45243</v>
      </c>
      <c r="C73" s="1" t="n">
        <v>45985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35145-2023</t>
        </is>
      </c>
      <c r="B74" s="1" t="n">
        <v>45145</v>
      </c>
      <c r="C74" s="1" t="n">
        <v>45985</v>
      </c>
      <c r="D74" t="inlineStr">
        <is>
          <t>STOCKHOLMS LÄN</t>
        </is>
      </c>
      <c r="E74" t="inlineStr">
        <is>
          <t>SÖDERTÄLJE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62320-2023</t>
        </is>
      </c>
      <c r="B75" s="1" t="n">
        <v>45267</v>
      </c>
      <c r="C75" s="1" t="n">
        <v>45985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45985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45985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3382-2024</t>
        </is>
      </c>
      <c r="B78" s="1" t="n">
        <v>45317</v>
      </c>
      <c r="C78" s="1" t="n">
        <v>45985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26909-2024</t>
        </is>
      </c>
      <c r="B79" s="1" t="n">
        <v>45470</v>
      </c>
      <c r="C79" s="1" t="n">
        <v>45985</v>
      </c>
      <c r="D79" t="inlineStr">
        <is>
          <t>STOCKHOLMS LÄN</t>
        </is>
      </c>
      <c r="E79" t="inlineStr">
        <is>
          <t>SÖDERTÄLJE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36886-2023</t>
        </is>
      </c>
      <c r="B80" s="1" t="n">
        <v>45154</v>
      </c>
      <c r="C80" s="1" t="n">
        <v>45985</v>
      </c>
      <c r="D80" t="inlineStr">
        <is>
          <t>STOCKHOLMS LÄN</t>
        </is>
      </c>
      <c r="E80" t="inlineStr">
        <is>
          <t>SÖDERTÄLJE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45985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49956-2022</t>
        </is>
      </c>
      <c r="B82" s="1" t="n">
        <v>44865.37130787037</v>
      </c>
      <c r="C82" s="1" t="n">
        <v>45985</v>
      </c>
      <c r="D82" t="inlineStr">
        <is>
          <t>STOCKHOLMS LÄN</t>
        </is>
      </c>
      <c r="E82" t="inlineStr">
        <is>
          <t>SÖDERTÄLJE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45985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25396-2025</t>
        </is>
      </c>
      <c r="B84" s="1" t="n">
        <v>45799</v>
      </c>
      <c r="C84" s="1" t="n">
        <v>45985</v>
      </c>
      <c r="D84" t="inlineStr">
        <is>
          <t>STOCKHOLMS LÄN</t>
        </is>
      </c>
      <c r="E84" t="inlineStr">
        <is>
          <t>SÖDERTÄLJE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25412-2025</t>
        </is>
      </c>
      <c r="B85" s="1" t="n">
        <v>45799</v>
      </c>
      <c r="C85" s="1" t="n">
        <v>45985</v>
      </c>
      <c r="D85" t="inlineStr">
        <is>
          <t>STOCKHOLMS LÄN</t>
        </is>
      </c>
      <c r="E85" t="inlineStr">
        <is>
          <t>SÖDERTÄLJE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45985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41702-2025</t>
        </is>
      </c>
      <c r="B87" s="1" t="n">
        <v>45902.41623842593</v>
      </c>
      <c r="C87" s="1" t="n">
        <v>45985</v>
      </c>
      <c r="D87" t="inlineStr">
        <is>
          <t>STOCKHOLMS LÄN</t>
        </is>
      </c>
      <c r="E87" t="inlineStr">
        <is>
          <t>SÖDERTÄLJE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23367-2024</t>
        </is>
      </c>
      <c r="B88" s="1" t="n">
        <v>45453</v>
      </c>
      <c r="C88" s="1" t="n">
        <v>45985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8611-2023</t>
        </is>
      </c>
      <c r="B89" s="1" t="n">
        <v>44977</v>
      </c>
      <c r="C89" s="1" t="n">
        <v>45985</v>
      </c>
      <c r="D89" t="inlineStr">
        <is>
          <t>STOCKHOLMS LÄN</t>
        </is>
      </c>
      <c r="E89" t="inlineStr">
        <is>
          <t>SÖDERTÄLJE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47714-2023</t>
        </is>
      </c>
      <c r="B90" s="1" t="n">
        <v>45198</v>
      </c>
      <c r="C90" s="1" t="n">
        <v>45985</v>
      </c>
      <c r="D90" t="inlineStr">
        <is>
          <t>STOCKHOLMS LÄN</t>
        </is>
      </c>
      <c r="E90" t="inlineStr">
        <is>
          <t>SÖDERTÄLJE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60635-2024</t>
        </is>
      </c>
      <c r="B91" s="1" t="n">
        <v>45644.41744212963</v>
      </c>
      <c r="C91" s="1" t="n">
        <v>45985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28346-2025</t>
        </is>
      </c>
      <c r="B92" s="1" t="n">
        <v>45818.70325231482</v>
      </c>
      <c r="C92" s="1" t="n">
        <v>45985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72218-2021</t>
        </is>
      </c>
      <c r="B93" s="1" t="n">
        <v>44544.76424768518</v>
      </c>
      <c r="C93" s="1" t="n">
        <v>45985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314-2022</t>
        </is>
      </c>
      <c r="B94" s="1" t="n">
        <v>44564</v>
      </c>
      <c r="C94" s="1" t="n">
        <v>45985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29336-2025</t>
        </is>
      </c>
      <c r="B95" s="1" t="n">
        <v>45824.49658564815</v>
      </c>
      <c r="C95" s="1" t="n">
        <v>45985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31375-2024</t>
        </is>
      </c>
      <c r="B96" s="1" t="n">
        <v>45505</v>
      </c>
      <c r="C96" s="1" t="n">
        <v>45985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29770-2025</t>
        </is>
      </c>
      <c r="B97" s="1" t="n">
        <v>45825.62880787037</v>
      </c>
      <c r="C97" s="1" t="n">
        <v>45985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37536-2024</t>
        </is>
      </c>
      <c r="B98" s="1" t="n">
        <v>45541</v>
      </c>
      <c r="C98" s="1" t="n">
        <v>45985</v>
      </c>
      <c r="D98" t="inlineStr">
        <is>
          <t>STOCKHOLMS LÄN</t>
        </is>
      </c>
      <c r="E98" t="inlineStr">
        <is>
          <t>SÖDERTÄLJE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42339-2024</t>
        </is>
      </c>
      <c r="B99" s="1" t="n">
        <v>45562</v>
      </c>
      <c r="C99" s="1" t="n">
        <v>45985</v>
      </c>
      <c r="D99" t="inlineStr">
        <is>
          <t>STOCKHOLMS LÄN</t>
        </is>
      </c>
      <c r="E99" t="inlineStr">
        <is>
          <t>SÖDERTÄLJE</t>
        </is>
      </c>
      <c r="F99" t="inlineStr">
        <is>
          <t>Övriga statliga verk och myndigheter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31086-2025</t>
        </is>
      </c>
      <c r="B100" s="1" t="n">
        <v>45832.59052083334</v>
      </c>
      <c r="C100" s="1" t="n">
        <v>45985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2529-2023</t>
        </is>
      </c>
      <c r="B101" s="1" t="n">
        <v>44943.60554398148</v>
      </c>
      <c r="C101" s="1" t="n">
        <v>45985</v>
      </c>
      <c r="D101" t="inlineStr">
        <is>
          <t>STOCKHOLMS LÄN</t>
        </is>
      </c>
      <c r="E101" t="inlineStr">
        <is>
          <t>SÖDERTÄLJE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27970-2022</t>
        </is>
      </c>
      <c r="B102" s="1" t="n">
        <v>44744</v>
      </c>
      <c r="C102" s="1" t="n">
        <v>45985</v>
      </c>
      <c r="D102" t="inlineStr">
        <is>
          <t>STOCKHOLMS LÄN</t>
        </is>
      </c>
      <c r="E102" t="inlineStr">
        <is>
          <t>SÖDERTÄLJE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27972-2022</t>
        </is>
      </c>
      <c r="B103" s="1" t="n">
        <v>44744</v>
      </c>
      <c r="C103" s="1" t="n">
        <v>45985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4443-2023</t>
        </is>
      </c>
      <c r="B104" s="1" t="n">
        <v>44956.45393518519</v>
      </c>
      <c r="C104" s="1" t="n">
        <v>45985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45985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54448-2025</t>
        </is>
      </c>
      <c r="B106" s="1" t="n">
        <v>45965</v>
      </c>
      <c r="C106" s="1" t="n">
        <v>45985</v>
      </c>
      <c r="D106" t="inlineStr">
        <is>
          <t>STOCKHOLMS LÄN</t>
        </is>
      </c>
      <c r="E106" t="inlineStr">
        <is>
          <t>SÖDERTÄLJE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57010-2024</t>
        </is>
      </c>
      <c r="B107" s="1" t="n">
        <v>45628</v>
      </c>
      <c r="C107" s="1" t="n">
        <v>45985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Kyrkan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3108-2024</t>
        </is>
      </c>
      <c r="B108" s="1" t="n">
        <v>45316</v>
      </c>
      <c r="C108" s="1" t="n">
        <v>45985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45985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45985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45985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45985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1016-2022</t>
        </is>
      </c>
      <c r="B113" s="1" t="n">
        <v>44571</v>
      </c>
      <c r="C113" s="1" t="n">
        <v>45985</v>
      </c>
      <c r="D113" t="inlineStr">
        <is>
          <t>STOCKHOLMS LÄN</t>
        </is>
      </c>
      <c r="E113" t="inlineStr">
        <is>
          <t>SÖDERTÄLJE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32044-2023</t>
        </is>
      </c>
      <c r="B114" s="1" t="n">
        <v>45119</v>
      </c>
      <c r="C114" s="1" t="n">
        <v>45985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35113-2023</t>
        </is>
      </c>
      <c r="B115" s="1" t="n">
        <v>45145</v>
      </c>
      <c r="C115" s="1" t="n">
        <v>45985</v>
      </c>
      <c r="D115" t="inlineStr">
        <is>
          <t>STOCKHOLMS LÄN</t>
        </is>
      </c>
      <c r="E115" t="inlineStr">
        <is>
          <t>SÖDERTÄLJE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8316-2025</t>
        </is>
      </c>
      <c r="B116" s="1" t="n">
        <v>45708.6225462963</v>
      </c>
      <c r="C116" s="1" t="n">
        <v>45985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42133-2023</t>
        </is>
      </c>
      <c r="B117" s="1" t="n">
        <v>45177.83136574074</v>
      </c>
      <c r="C117" s="1" t="n">
        <v>45985</v>
      </c>
      <c r="D117" t="inlineStr">
        <is>
          <t>STOCKHOLMS LÄN</t>
        </is>
      </c>
      <c r="E117" t="inlineStr">
        <is>
          <t>SÖDERTÄLJE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48046-2025</t>
        </is>
      </c>
      <c r="B118" s="1" t="n">
        <v>45932.67148148148</v>
      </c>
      <c r="C118" s="1" t="n">
        <v>45985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48342-2025</t>
        </is>
      </c>
      <c r="B119" s="1" t="n">
        <v>45933</v>
      </c>
      <c r="C119" s="1" t="n">
        <v>45985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45985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38194-2025</t>
        </is>
      </c>
      <c r="B121" s="1" t="n">
        <v>45882.65921296296</v>
      </c>
      <c r="C121" s="1" t="n">
        <v>45985</v>
      </c>
      <c r="D121" t="inlineStr">
        <is>
          <t>STOCKHOLMS LÄN</t>
        </is>
      </c>
      <c r="E121" t="inlineStr">
        <is>
          <t>SÖDERTÄLJE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45985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57411-2025</t>
        </is>
      </c>
      <c r="B123" s="1" t="n">
        <v>45980.4487037037</v>
      </c>
      <c r="C123" s="1" t="n">
        <v>45985</v>
      </c>
      <c r="D123" t="inlineStr">
        <is>
          <t>STOCKHOLMS LÄN</t>
        </is>
      </c>
      <c r="E123" t="inlineStr">
        <is>
          <t>SÖDERTÄLJE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45145-2022</t>
        </is>
      </c>
      <c r="B124" s="1" t="n">
        <v>44844</v>
      </c>
      <c r="C124" s="1" t="n">
        <v>45985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45985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45985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34193-2024</t>
        </is>
      </c>
      <c r="B127" s="1" t="n">
        <v>45524.46203703704</v>
      </c>
      <c r="C127" s="1" t="n">
        <v>45985</v>
      </c>
      <c r="D127" t="inlineStr">
        <is>
          <t>STOCKHOLMS LÄN</t>
        </is>
      </c>
      <c r="E127" t="inlineStr">
        <is>
          <t>SÖDERTÄLJE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46688-2021</t>
        </is>
      </c>
      <c r="B128" s="1" t="n">
        <v>44445.63403935185</v>
      </c>
      <c r="C128" s="1" t="n">
        <v>45985</v>
      </c>
      <c r="D128" t="inlineStr">
        <is>
          <t>STOCKHOLMS LÄN</t>
        </is>
      </c>
      <c r="E128" t="inlineStr">
        <is>
          <t>SÖDERTÄLJE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6886-2022</t>
        </is>
      </c>
      <c r="B129" s="1" t="n">
        <v>44602</v>
      </c>
      <c r="C129" s="1" t="n">
        <v>45985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487-2024</t>
        </is>
      </c>
      <c r="B130" s="1" t="n">
        <v>45298.85216435185</v>
      </c>
      <c r="C130" s="1" t="n">
        <v>45985</v>
      </c>
      <c r="D130" t="inlineStr">
        <is>
          <t>STOCKHOLMS LÄN</t>
        </is>
      </c>
      <c r="E130" t="inlineStr">
        <is>
          <t>SÖDERTÄLJE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57884-2021</t>
        </is>
      </c>
      <c r="B131" s="1" t="n">
        <v>44485</v>
      </c>
      <c r="C131" s="1" t="n">
        <v>45985</v>
      </c>
      <c r="D131" t="inlineStr">
        <is>
          <t>STOCKHOLMS LÄN</t>
        </is>
      </c>
      <c r="E131" t="inlineStr">
        <is>
          <t>SÖDERTÄLJE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16520-2025</t>
        </is>
      </c>
      <c r="B132" s="1" t="n">
        <v>45751.63434027778</v>
      </c>
      <c r="C132" s="1" t="n">
        <v>45985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28981-2023</t>
        </is>
      </c>
      <c r="B133" s="1" t="n">
        <v>45104</v>
      </c>
      <c r="C133" s="1" t="n">
        <v>45985</v>
      </c>
      <c r="D133" t="inlineStr">
        <is>
          <t>STOCKHOLMS LÄN</t>
        </is>
      </c>
      <c r="E133" t="inlineStr">
        <is>
          <t>SÖDERTÄLJE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50059-2021</t>
        </is>
      </c>
      <c r="B134" s="1" t="n">
        <v>44455</v>
      </c>
      <c r="C134" s="1" t="n">
        <v>45985</v>
      </c>
      <c r="D134" t="inlineStr">
        <is>
          <t>STOCKHOLMS LÄN</t>
        </is>
      </c>
      <c r="E134" t="inlineStr">
        <is>
          <t>SÖDERTÄLJE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11343-2025</t>
        </is>
      </c>
      <c r="B135" s="1" t="n">
        <v>45726.49932870371</v>
      </c>
      <c r="C135" s="1" t="n">
        <v>45985</v>
      </c>
      <c r="D135" t="inlineStr">
        <is>
          <t>STOCKHOLMS LÄN</t>
        </is>
      </c>
      <c r="E135" t="inlineStr">
        <is>
          <t>SÖDERTÄLJE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24034-2022</t>
        </is>
      </c>
      <c r="B136" s="1" t="n">
        <v>44724</v>
      </c>
      <c r="C136" s="1" t="n">
        <v>45985</v>
      </c>
      <c r="D136" t="inlineStr">
        <is>
          <t>STOCKHOLMS LÄN</t>
        </is>
      </c>
      <c r="E136" t="inlineStr">
        <is>
          <t>SÖDERTÄLJE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41111-2023</t>
        </is>
      </c>
      <c r="B137" s="1" t="n">
        <v>45173.74025462963</v>
      </c>
      <c r="C137" s="1" t="n">
        <v>45985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41115-2023</t>
        </is>
      </c>
      <c r="B138" s="1" t="n">
        <v>45173</v>
      </c>
      <c r="C138" s="1" t="n">
        <v>45985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3585-2022</t>
        </is>
      </c>
      <c r="B139" s="1" t="n">
        <v>44586</v>
      </c>
      <c r="C139" s="1" t="n">
        <v>45985</v>
      </c>
      <c r="D139" t="inlineStr">
        <is>
          <t>STOCKHOLMS LÄN</t>
        </is>
      </c>
      <c r="E139" t="inlineStr">
        <is>
          <t>SÖDERTÄLJE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12907-2024</t>
        </is>
      </c>
      <c r="B140" s="1" t="n">
        <v>45385</v>
      </c>
      <c r="C140" s="1" t="n">
        <v>45985</v>
      </c>
      <c r="D140" t="inlineStr">
        <is>
          <t>STOCKHOLMS LÄN</t>
        </is>
      </c>
      <c r="E140" t="inlineStr">
        <is>
          <t>SÖDERTÄLJE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8320-2025</t>
        </is>
      </c>
      <c r="B141" s="1" t="n">
        <v>45708.62876157407</v>
      </c>
      <c r="C141" s="1" t="n">
        <v>45985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9562-2025</t>
        </is>
      </c>
      <c r="B142" s="1" t="n">
        <v>45715.61215277778</v>
      </c>
      <c r="C142" s="1" t="n">
        <v>45985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56596-2023</t>
        </is>
      </c>
      <c r="B143" s="1" t="n">
        <v>45243</v>
      </c>
      <c r="C143" s="1" t="n">
        <v>45985</v>
      </c>
      <c r="D143" t="inlineStr">
        <is>
          <t>STOCKHOLMS LÄN</t>
        </is>
      </c>
      <c r="E143" t="inlineStr">
        <is>
          <t>SÖDERTÄLJE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55940-2023</t>
        </is>
      </c>
      <c r="B144" s="1" t="n">
        <v>45240.30215277777</v>
      </c>
      <c r="C144" s="1" t="n">
        <v>45985</v>
      </c>
      <c r="D144" t="inlineStr">
        <is>
          <t>STOCKHOLMS LÄN</t>
        </is>
      </c>
      <c r="E144" t="inlineStr">
        <is>
          <t>SÖDERTÄLJE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10263-2025</t>
        </is>
      </c>
      <c r="B145" s="1" t="n">
        <v>45720.38165509259</v>
      </c>
      <c r="C145" s="1" t="n">
        <v>45985</v>
      </c>
      <c r="D145" t="inlineStr">
        <is>
          <t>STOCKHOLMS LÄN</t>
        </is>
      </c>
      <c r="E145" t="inlineStr">
        <is>
          <t>SÖDERTÄLJE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10277-2025</t>
        </is>
      </c>
      <c r="B146" s="1" t="n">
        <v>45720.39836805555</v>
      </c>
      <c r="C146" s="1" t="n">
        <v>45985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58140-2023</t>
        </is>
      </c>
      <c r="B147" s="1" t="n">
        <v>45250</v>
      </c>
      <c r="C147" s="1" t="n">
        <v>45985</v>
      </c>
      <c r="D147" t="inlineStr">
        <is>
          <t>STOCKHOLMS LÄN</t>
        </is>
      </c>
      <c r="E147" t="inlineStr">
        <is>
          <t>SÖDERTÄLJE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26812-2022</t>
        </is>
      </c>
      <c r="B148" s="1" t="n">
        <v>44740</v>
      </c>
      <c r="C148" s="1" t="n">
        <v>45985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10280-2025</t>
        </is>
      </c>
      <c r="B149" s="1" t="n">
        <v>45720.40354166667</v>
      </c>
      <c r="C149" s="1" t="n">
        <v>45985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62311-2023</t>
        </is>
      </c>
      <c r="B150" s="1" t="n">
        <v>45266</v>
      </c>
      <c r="C150" s="1" t="n">
        <v>45985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3383-2024</t>
        </is>
      </c>
      <c r="B151" s="1" t="n">
        <v>45317</v>
      </c>
      <c r="C151" s="1" t="n">
        <v>45985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35942-2022</t>
        </is>
      </c>
      <c r="B152" s="1" t="n">
        <v>44802</v>
      </c>
      <c r="C152" s="1" t="n">
        <v>45985</v>
      </c>
      <c r="D152" t="inlineStr">
        <is>
          <t>STOCKHOLMS LÄN</t>
        </is>
      </c>
      <c r="E152" t="inlineStr">
        <is>
          <t>SÖDERTÄLJE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92-2024</t>
        </is>
      </c>
      <c r="B153" s="1" t="n">
        <v>45293</v>
      </c>
      <c r="C153" s="1" t="n">
        <v>45985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20530-2024</t>
        </is>
      </c>
      <c r="B154" s="1" t="n">
        <v>45435</v>
      </c>
      <c r="C154" s="1" t="n">
        <v>45985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51087-2023</t>
        </is>
      </c>
      <c r="B155" s="1" t="n">
        <v>45218.73296296296</v>
      </c>
      <c r="C155" s="1" t="n">
        <v>45985</v>
      </c>
      <c r="D155" t="inlineStr">
        <is>
          <t>STOCKHOLMS LÄN</t>
        </is>
      </c>
      <c r="E155" t="inlineStr">
        <is>
          <t>SÖDERTÄLJE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49136-2021</t>
        </is>
      </c>
      <c r="B156" s="1" t="n">
        <v>44453.91797453703</v>
      </c>
      <c r="C156" s="1" t="n">
        <v>45985</v>
      </c>
      <c r="D156" t="inlineStr">
        <is>
          <t>STOCKHOLMS LÄN</t>
        </is>
      </c>
      <c r="E156" t="inlineStr">
        <is>
          <t>SÖDERTÄLJE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35918-2022</t>
        </is>
      </c>
      <c r="B157" s="1" t="n">
        <v>44802</v>
      </c>
      <c r="C157" s="1" t="n">
        <v>45985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48820-2022</t>
        </is>
      </c>
      <c r="B158" s="1" t="n">
        <v>44859</v>
      </c>
      <c r="C158" s="1" t="n">
        <v>45985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34449-2021</t>
        </is>
      </c>
      <c r="B159" s="1" t="n">
        <v>44381.63587962963</v>
      </c>
      <c r="C159" s="1" t="n">
        <v>45985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16724-2022</t>
        </is>
      </c>
      <c r="B160" s="1" t="n">
        <v>44673</v>
      </c>
      <c r="C160" s="1" t="n">
        <v>45985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42337-2024</t>
        </is>
      </c>
      <c r="B161" s="1" t="n">
        <v>45562</v>
      </c>
      <c r="C161" s="1" t="n">
        <v>45985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35906-2022</t>
        </is>
      </c>
      <c r="B162" s="1" t="n">
        <v>44802</v>
      </c>
      <c r="C162" s="1" t="n">
        <v>45985</v>
      </c>
      <c r="D162" t="inlineStr">
        <is>
          <t>STOCKHOLMS LÄN</t>
        </is>
      </c>
      <c r="E162" t="inlineStr">
        <is>
          <t>SÖDERTÄLJE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11319-2024</t>
        </is>
      </c>
      <c r="B163" s="1" t="n">
        <v>45371.91613425926</v>
      </c>
      <c r="C163" s="1" t="n">
        <v>45985</v>
      </c>
      <c r="D163" t="inlineStr">
        <is>
          <t>STOCKHOLMS LÄN</t>
        </is>
      </c>
      <c r="E163" t="inlineStr">
        <is>
          <t>SÖDERTÄLJE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55941-2023</t>
        </is>
      </c>
      <c r="B164" s="1" t="n">
        <v>45240</v>
      </c>
      <c r="C164" s="1" t="n">
        <v>45985</v>
      </c>
      <c r="D164" t="inlineStr">
        <is>
          <t>STOCKHOLMS LÄN</t>
        </is>
      </c>
      <c r="E164" t="inlineStr">
        <is>
          <t>SÖDERTÄLJE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54596-2024</t>
        </is>
      </c>
      <c r="B165" s="1" t="n">
        <v>45617.6762037037</v>
      </c>
      <c r="C165" s="1" t="n">
        <v>45985</v>
      </c>
      <c r="D165" t="inlineStr">
        <is>
          <t>STOCKHOLMS LÄN</t>
        </is>
      </c>
      <c r="E165" t="inlineStr">
        <is>
          <t>SÖDERTÄLJE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58928-2022</t>
        </is>
      </c>
      <c r="B166" s="1" t="n">
        <v>44903</v>
      </c>
      <c r="C166" s="1" t="n">
        <v>45985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51026-2024</t>
        </is>
      </c>
      <c r="B167" s="1" t="n">
        <v>45603.4181712963</v>
      </c>
      <c r="C167" s="1" t="n">
        <v>45985</v>
      </c>
      <c r="D167" t="inlineStr">
        <is>
          <t>STOCKHOLMS LÄN</t>
        </is>
      </c>
      <c r="E167" t="inlineStr">
        <is>
          <t>SÖDERTÄLJE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28982-2024</t>
        </is>
      </c>
      <c r="B168" s="1" t="n">
        <v>45481.47568287037</v>
      </c>
      <c r="C168" s="1" t="n">
        <v>45985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27771-2021</t>
        </is>
      </c>
      <c r="B169" s="1" t="n">
        <v>44354</v>
      </c>
      <c r="C169" s="1" t="n">
        <v>45985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46671-2021</t>
        </is>
      </c>
      <c r="B170" s="1" t="n">
        <v>44445</v>
      </c>
      <c r="C170" s="1" t="n">
        <v>45985</v>
      </c>
      <c r="D170" t="inlineStr">
        <is>
          <t>STOCKHOLMS LÄN</t>
        </is>
      </c>
      <c r="E170" t="inlineStr">
        <is>
          <t>SÖDERTÄLJE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37842-2022</t>
        </is>
      </c>
      <c r="B171" s="1" t="n">
        <v>44810</v>
      </c>
      <c r="C171" s="1" t="n">
        <v>45985</v>
      </c>
      <c r="D171" t="inlineStr">
        <is>
          <t>STOCKHOLMS LÄN</t>
        </is>
      </c>
      <c r="E171" t="inlineStr">
        <is>
          <t>SÖDERTÄLJE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31212-2024</t>
        </is>
      </c>
      <c r="B172" s="1" t="n">
        <v>45503</v>
      </c>
      <c r="C172" s="1" t="n">
        <v>45985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52101-2022</t>
        </is>
      </c>
      <c r="B173" s="1" t="n">
        <v>44873</v>
      </c>
      <c r="C173" s="1" t="n">
        <v>45985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35200-2023</t>
        </is>
      </c>
      <c r="B174" s="1" t="n">
        <v>45145</v>
      </c>
      <c r="C174" s="1" t="n">
        <v>45985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25706-2023</t>
        </is>
      </c>
      <c r="B175" s="1" t="n">
        <v>45090</v>
      </c>
      <c r="C175" s="1" t="n">
        <v>45985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34194-2024</t>
        </is>
      </c>
      <c r="B176" s="1" t="n">
        <v>45524</v>
      </c>
      <c r="C176" s="1" t="n">
        <v>45985</v>
      </c>
      <c r="D176" t="inlineStr">
        <is>
          <t>STOCKHOLMS LÄN</t>
        </is>
      </c>
      <c r="E176" t="inlineStr">
        <is>
          <t>SÖDERTÄLJE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6157-2025</t>
        </is>
      </c>
      <c r="B177" s="1" t="n">
        <v>45698.40923611111</v>
      </c>
      <c r="C177" s="1" t="n">
        <v>45985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47576-2023</t>
        </is>
      </c>
      <c r="B178" s="1" t="n">
        <v>45197</v>
      </c>
      <c r="C178" s="1" t="n">
        <v>45985</v>
      </c>
      <c r="D178" t="inlineStr">
        <is>
          <t>STOCKHOLMS LÄN</t>
        </is>
      </c>
      <c r="E178" t="inlineStr">
        <is>
          <t>SÖDERTÄLJE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8323-2025</t>
        </is>
      </c>
      <c r="B179" s="1" t="n">
        <v>45708.6322337963</v>
      </c>
      <c r="C179" s="1" t="n">
        <v>45985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51931-2023</t>
        </is>
      </c>
      <c r="B180" s="1" t="n">
        <v>45216</v>
      </c>
      <c r="C180" s="1" t="n">
        <v>45985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954-2023</t>
        </is>
      </c>
      <c r="B181" s="1" t="n">
        <v>44934.7921875</v>
      </c>
      <c r="C181" s="1" t="n">
        <v>45985</v>
      </c>
      <c r="D181" t="inlineStr">
        <is>
          <t>STOCKHOLMS LÄN</t>
        </is>
      </c>
      <c r="E181" t="inlineStr">
        <is>
          <t>SÖDERTÄLJE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45985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45985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45985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20091-2025</t>
        </is>
      </c>
      <c r="B185" s="1" t="n">
        <v>45771</v>
      </c>
      <c r="C185" s="1" t="n">
        <v>45985</v>
      </c>
      <c r="D185" t="inlineStr">
        <is>
          <t>STOCKHOLMS LÄN</t>
        </is>
      </c>
      <c r="E185" t="inlineStr">
        <is>
          <t>SÖDERTÄLJE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51082-2024</t>
        </is>
      </c>
      <c r="B186" s="1" t="n">
        <v>45603.46126157408</v>
      </c>
      <c r="C186" s="1" t="n">
        <v>45985</v>
      </c>
      <c r="D186" t="inlineStr">
        <is>
          <t>STOCKHOLMS LÄN</t>
        </is>
      </c>
      <c r="E186" t="inlineStr">
        <is>
          <t>SÖDERTÄLJE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9891-2025</t>
        </is>
      </c>
      <c r="B187" s="1" t="n">
        <v>45716.70479166666</v>
      </c>
      <c r="C187" s="1" t="n">
        <v>45985</v>
      </c>
      <c r="D187" t="inlineStr">
        <is>
          <t>STOCKHOLMS LÄN</t>
        </is>
      </c>
      <c r="E187" t="inlineStr">
        <is>
          <t>SÖDERTÄLJE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33892-2022</t>
        </is>
      </c>
      <c r="B188" s="1" t="n">
        <v>44790.60921296296</v>
      </c>
      <c r="C188" s="1" t="n">
        <v>45985</v>
      </c>
      <c r="D188" t="inlineStr">
        <is>
          <t>STOCKHOLMS LÄN</t>
        </is>
      </c>
      <c r="E188" t="inlineStr">
        <is>
          <t>SÖDERTÄLJE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2025-11-24T10:20:18Z</dcterms:created>
  <dcterms:modified xmlns:dcterms="http://purl.org/dc/terms/" xmlns:xsi="http://www.w3.org/2001/XMLSchema-instance" xsi:type="dcterms:W3CDTF">2025-11-24T10:20:18Z</dcterms:modified>
</cp:coreProperties>
</file>