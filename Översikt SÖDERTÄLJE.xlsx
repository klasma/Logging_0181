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45510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45510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45510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45510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97-2024</t>
        </is>
      </c>
      <c r="B6" s="1" t="n">
        <v>45293</v>
      </c>
      <c r="C6" s="1" t="n">
        <v>45510</v>
      </c>
      <c r="D6" t="inlineStr">
        <is>
          <t>STOCKHOLMS LÄN</t>
        </is>
      </c>
      <c r="E6" t="inlineStr">
        <is>
          <t>SÖDERTÄLJE</t>
        </is>
      </c>
      <c r="G6" t="n">
        <v>2.3</v>
      </c>
      <c r="H6" t="n">
        <v>6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Brunlångöra
Nordfladdermus
Dvärgpipistrell
Större brunfladdermus
Trollpipistrell
Vattenfladdermus</t>
        </is>
      </c>
      <c r="S6">
        <f>HYPERLINK("https://klasma.github.io/Logging_0181/artfynd/A 97-2024 artfynd.xlsx", "A 97-2024")</f>
        <v/>
      </c>
      <c r="T6">
        <f>HYPERLINK("https://klasma.github.io/Logging_0181/kartor/A 97-2024 karta.png", "A 97-2024")</f>
        <v/>
      </c>
      <c r="V6">
        <f>HYPERLINK("https://klasma.github.io/Logging_0181/klagomål/A 97-2024 FSC-klagomål.docx", "A 97-2024")</f>
        <v/>
      </c>
      <c r="W6">
        <f>HYPERLINK("https://klasma.github.io/Logging_0181/klagomålsmail/A 97-2024 FSC-klagomål mail.docx", "A 97-2024")</f>
        <v/>
      </c>
      <c r="X6">
        <f>HYPERLINK("https://klasma.github.io/Logging_0181/tillsyn/A 97-2024 tillsynsbegäran.docx", "A 97-2024")</f>
        <v/>
      </c>
      <c r="Y6">
        <f>HYPERLINK("https://klasma.github.io/Logging_0181/tillsynsmail/A 97-2024 tillsynsbegäran mail.docx", "A 97-2024")</f>
        <v/>
      </c>
    </row>
    <row r="7" ht="15" customHeight="1">
      <c r="A7" t="inlineStr">
        <is>
          <t>A 37679-2021</t>
        </is>
      </c>
      <c r="B7" s="1" t="n">
        <v>44400</v>
      </c>
      <c r="C7" s="1" t="n">
        <v>45510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25.3</v>
      </c>
      <c r="H7" t="n">
        <v>0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Franstandad barkskinnbagge
Björkstumpbagge
Svinrot
Spindelbock
Åttafläckig praktbagge</t>
        </is>
      </c>
      <c r="S7">
        <f>HYPERLINK("https://klasma.github.io/Logging_0181/artfynd/A 37679-2021 artfynd.xlsx", "A 37679-2021")</f>
        <v/>
      </c>
      <c r="T7">
        <f>HYPERLINK("https://klasma.github.io/Logging_0181/kartor/A 37679-2021 karta.png", "A 37679-2021")</f>
        <v/>
      </c>
      <c r="V7">
        <f>HYPERLINK("https://klasma.github.io/Logging_0181/klagomål/A 37679-2021 FSC-klagomål.docx", "A 37679-2021")</f>
        <v/>
      </c>
      <c r="W7">
        <f>HYPERLINK("https://klasma.github.io/Logging_0181/klagomålsmail/A 37679-2021 FSC-klagomål mail.docx", "A 37679-2021")</f>
        <v/>
      </c>
      <c r="X7">
        <f>HYPERLINK("https://klasma.github.io/Logging_0181/tillsyn/A 37679-2021 tillsynsbegäran.docx", "A 37679-2021")</f>
        <v/>
      </c>
      <c r="Y7">
        <f>HYPERLINK("https://klasma.github.io/Logging_0181/tillsynsmail/A 37679-2021 tillsynsbegäran mail.docx", "A 37679-2021")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45510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Motaggsvamp
Fjällig taggsvamp s.str.
Rödgul trumpetsvamp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</row>
    <row r="9" ht="15" customHeight="1">
      <c r="A9" t="inlineStr">
        <is>
          <t>A 4384-2022</t>
        </is>
      </c>
      <c r="B9" s="1" t="n">
        <v>44589</v>
      </c>
      <c r="C9" s="1" t="n">
        <v>45510</v>
      </c>
      <c r="D9" t="inlineStr">
        <is>
          <t>STOCKHOLMS LÄN</t>
        </is>
      </c>
      <c r="E9" t="inlineStr">
        <is>
          <t>SÖDERTÄLJE</t>
        </is>
      </c>
      <c r="F9" t="inlineStr">
        <is>
          <t>Övriga statliga verk och myndigheter</t>
        </is>
      </c>
      <c r="G9" t="n">
        <v>1.9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Bombmurkla
Dunmossa
Sårläka
Blåsippa</t>
        </is>
      </c>
      <c r="S9">
        <f>HYPERLINK("https://klasma.github.io/Logging_0181/artfynd/A 4384-2022 artfynd.xlsx", "A 4384-2022")</f>
        <v/>
      </c>
      <c r="T9">
        <f>HYPERLINK("https://klasma.github.io/Logging_0181/kartor/A 4384-2022 karta.png", "A 4384-2022")</f>
        <v/>
      </c>
      <c r="U9">
        <f>HYPERLINK("https://klasma.github.io/Logging_0181/knärot/A 4384-2022 karta knärot.png", "A 4384-2022")</f>
        <v/>
      </c>
      <c r="V9">
        <f>HYPERLINK("https://klasma.github.io/Logging_0181/klagomål/A 4384-2022 FSC-klagomål.docx", "A 4384-2022")</f>
        <v/>
      </c>
      <c r="W9">
        <f>HYPERLINK("https://klasma.github.io/Logging_0181/klagomålsmail/A 4384-2022 FSC-klagomål mail.docx", "A 4384-2022")</f>
        <v/>
      </c>
      <c r="X9">
        <f>HYPERLINK("https://klasma.github.io/Logging_0181/tillsyn/A 4384-2022 tillsynsbegäran.docx", "A 4384-2022")</f>
        <v/>
      </c>
      <c r="Y9">
        <f>HYPERLINK("https://klasma.github.io/Logging_0181/tillsynsmail/A 4384-2022 tillsynsbegäran mail.docx", "A 4384-2022")</f>
        <v/>
      </c>
    </row>
    <row r="10" ht="15" customHeight="1">
      <c r="A10" t="inlineStr">
        <is>
          <t>A 14771-2022</t>
        </is>
      </c>
      <c r="B10" s="1" t="n">
        <v>44656</v>
      </c>
      <c r="C10" s="1" t="n">
        <v>45510</v>
      </c>
      <c r="D10" t="inlineStr">
        <is>
          <t>STOCKHOLMS LÄN</t>
        </is>
      </c>
      <c r="E10" t="inlineStr">
        <is>
          <t>SÖDERTÄLJE</t>
        </is>
      </c>
      <c r="G10" t="n">
        <v>3.8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Vanlig groda
Vanlig padda
Revlummer</t>
        </is>
      </c>
      <c r="S10">
        <f>HYPERLINK("https://klasma.github.io/Logging_0181/artfynd/A 14771-2022 artfynd.xlsx", "A 14771-2022")</f>
        <v/>
      </c>
      <c r="T10">
        <f>HYPERLINK("https://klasma.github.io/Logging_0181/kartor/A 14771-2022 karta.png", "A 14771-2022")</f>
        <v/>
      </c>
      <c r="V10">
        <f>HYPERLINK("https://klasma.github.io/Logging_0181/klagomål/A 14771-2022 FSC-klagomål.docx", "A 14771-2022")</f>
        <v/>
      </c>
      <c r="W10">
        <f>HYPERLINK("https://klasma.github.io/Logging_0181/klagomålsmail/A 14771-2022 FSC-klagomål mail.docx", "A 14771-2022")</f>
        <v/>
      </c>
      <c r="X10">
        <f>HYPERLINK("https://klasma.github.io/Logging_0181/tillsyn/A 14771-2022 tillsynsbegäran.docx", "A 14771-2022")</f>
        <v/>
      </c>
      <c r="Y10">
        <f>HYPERLINK("https://klasma.github.io/Logging_0181/tillsynsmail/A 14771-2022 tillsynsbegäran mail.docx", "A 14771-2022")</f>
        <v/>
      </c>
    </row>
    <row r="11" ht="15" customHeight="1">
      <c r="A11" t="inlineStr">
        <is>
          <t>A 59655-2019</t>
        </is>
      </c>
      <c r="B11" s="1" t="n">
        <v>43776</v>
      </c>
      <c r="C11" s="1" t="n">
        <v>45510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Guldkremla
Skarp dropptaggsvamp</t>
        </is>
      </c>
      <c r="S11">
        <f>HYPERLINK("https://klasma.github.io/Logging_0181/artfynd/A 59655-2019 artfynd.xlsx", "A 59655-2019")</f>
        <v/>
      </c>
      <c r="T11">
        <f>HYPERLINK("https://klasma.github.io/Logging_0181/kartor/A 59655-2019 karta.png", "A 59655-2019")</f>
        <v/>
      </c>
      <c r="V11">
        <f>HYPERLINK("https://klasma.github.io/Logging_0181/klagomål/A 59655-2019 FSC-klagomål.docx", "A 59655-2019")</f>
        <v/>
      </c>
      <c r="W11">
        <f>HYPERLINK("https://klasma.github.io/Logging_0181/klagomålsmail/A 59655-2019 FSC-klagomål mail.docx", "A 59655-2019")</f>
        <v/>
      </c>
      <c r="X11">
        <f>HYPERLINK("https://klasma.github.io/Logging_0181/tillsyn/A 59655-2019 tillsynsbegäran.docx", "A 59655-2019")</f>
        <v/>
      </c>
      <c r="Y11">
        <f>HYPERLINK("https://klasma.github.io/Logging_0181/tillsynsmail/A 59655-2019 tillsynsbegäran mail.docx", "A 59655-2019")</f>
        <v/>
      </c>
    </row>
    <row r="12" ht="15" customHeight="1">
      <c r="A12" t="inlineStr">
        <is>
          <t>A 46303-2020</t>
        </is>
      </c>
      <c r="B12" s="1" t="n">
        <v>44092</v>
      </c>
      <c r="C12" s="1" t="n">
        <v>45510</v>
      </c>
      <c r="D12" t="inlineStr">
        <is>
          <t>STOCKHOLMS LÄN</t>
        </is>
      </c>
      <c r="E12" t="inlineStr">
        <is>
          <t>SÖDERTÄLJE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3</v>
      </c>
      <c r="P12" t="n">
        <v>3</v>
      </c>
      <c r="Q12" t="n">
        <v>3</v>
      </c>
      <c r="R12" s="2" t="inlineStr">
        <is>
          <t>Skogsalm
Ask
Grenticka</t>
        </is>
      </c>
      <c r="S12">
        <f>HYPERLINK("https://klasma.github.io/Logging_0181/artfynd/A 46303-2020 artfynd.xlsx", "A 46303-2020")</f>
        <v/>
      </c>
      <c r="T12">
        <f>HYPERLINK("https://klasma.github.io/Logging_0181/kartor/A 46303-2020 karta.png", "A 46303-2020")</f>
        <v/>
      </c>
      <c r="V12">
        <f>HYPERLINK("https://klasma.github.io/Logging_0181/klagomål/A 46303-2020 FSC-klagomål.docx", "A 46303-2020")</f>
        <v/>
      </c>
      <c r="W12">
        <f>HYPERLINK("https://klasma.github.io/Logging_0181/klagomålsmail/A 46303-2020 FSC-klagomål mail.docx", "A 46303-2020")</f>
        <v/>
      </c>
      <c r="X12">
        <f>HYPERLINK("https://klasma.github.io/Logging_0181/tillsyn/A 46303-2020 tillsynsbegäran.docx", "A 46303-2020")</f>
        <v/>
      </c>
      <c r="Y12">
        <f>HYPERLINK("https://klasma.github.io/Logging_0181/tillsynsmail/A 46303-2020 tillsynsbegäran mail.docx", "A 46303-2020")</f>
        <v/>
      </c>
    </row>
    <row r="13" ht="15" customHeight="1">
      <c r="A13" t="inlineStr">
        <is>
          <t>A 32041-2023</t>
        </is>
      </c>
      <c r="B13" s="1" t="n">
        <v>45119</v>
      </c>
      <c r="C13" s="1" t="n">
        <v>45510</v>
      </c>
      <c r="D13" t="inlineStr">
        <is>
          <t>STOCKHOLMS LÄN</t>
        </is>
      </c>
      <c r="E13" t="inlineStr">
        <is>
          <t>SÖDERTÄLJE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Stor bockrot
Krusfrö
Svinrot</t>
        </is>
      </c>
      <c r="S13">
        <f>HYPERLINK("https://klasma.github.io/Logging_0181/artfynd/A 32041-2023 artfynd.xlsx", "A 32041-2023")</f>
        <v/>
      </c>
      <c r="T13">
        <f>HYPERLINK("https://klasma.github.io/Logging_0181/kartor/A 32041-2023 karta.png", "A 32041-2023")</f>
        <v/>
      </c>
      <c r="V13">
        <f>HYPERLINK("https://klasma.github.io/Logging_0181/klagomål/A 32041-2023 FSC-klagomål.docx", "A 32041-2023")</f>
        <v/>
      </c>
      <c r="W13">
        <f>HYPERLINK("https://klasma.github.io/Logging_0181/klagomålsmail/A 32041-2023 FSC-klagomål mail.docx", "A 32041-2023")</f>
        <v/>
      </c>
      <c r="X13">
        <f>HYPERLINK("https://klasma.github.io/Logging_0181/tillsyn/A 32041-2023 tillsynsbegäran.docx", "A 32041-2023")</f>
        <v/>
      </c>
      <c r="Y13">
        <f>HYPERLINK("https://klasma.github.io/Logging_0181/tillsynsmail/A 32041-2023 tillsynsbegäran mail.docx", "A 32041-2023")</f>
        <v/>
      </c>
    </row>
    <row r="14" ht="15" customHeight="1">
      <c r="A14" t="inlineStr">
        <is>
          <t>A 46237-2020</t>
        </is>
      </c>
      <c r="B14" s="1" t="n">
        <v>44092</v>
      </c>
      <c r="C14" s="1" t="n">
        <v>45510</v>
      </c>
      <c r="D14" t="inlineStr">
        <is>
          <t>STOCKHOLMS LÄN</t>
        </is>
      </c>
      <c r="E14" t="inlineStr">
        <is>
          <t>SÖDERTÄLJE</t>
        </is>
      </c>
      <c r="G14" t="n">
        <v>1.1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Rödbrun jordstjärna</t>
        </is>
      </c>
      <c r="S14">
        <f>HYPERLINK("https://klasma.github.io/Logging_0181/artfynd/A 46237-2020 artfynd.xlsx", "A 46237-2020")</f>
        <v/>
      </c>
      <c r="T14">
        <f>HYPERLINK("https://klasma.github.io/Logging_0181/kartor/A 46237-2020 karta.png", "A 46237-2020")</f>
        <v/>
      </c>
      <c r="U14">
        <f>HYPERLINK("https://klasma.github.io/Logging_0181/knärot/A 46237-2020 karta knärot.png", "A 46237-2020")</f>
        <v/>
      </c>
      <c r="V14">
        <f>HYPERLINK("https://klasma.github.io/Logging_0181/klagomål/A 46237-2020 FSC-klagomål.docx", "A 46237-2020")</f>
        <v/>
      </c>
      <c r="W14">
        <f>HYPERLINK("https://klasma.github.io/Logging_0181/klagomålsmail/A 46237-2020 FSC-klagomål mail.docx", "A 46237-2020")</f>
        <v/>
      </c>
      <c r="X14">
        <f>HYPERLINK("https://klasma.github.io/Logging_0181/tillsyn/A 46237-2020 tillsynsbegäran.docx", "A 46237-2020")</f>
        <v/>
      </c>
      <c r="Y14">
        <f>HYPERLINK("https://klasma.github.io/Logging_0181/tillsynsmail/A 46237-2020 tillsynsbegäran mail.docx", "A 46237-2020")</f>
        <v/>
      </c>
    </row>
    <row r="15" ht="15" customHeight="1">
      <c r="A15" t="inlineStr">
        <is>
          <t>A 17648-2021</t>
        </is>
      </c>
      <c r="B15" s="1" t="n">
        <v>44300</v>
      </c>
      <c r="C15" s="1" t="n">
        <v>45510</v>
      </c>
      <c r="D15" t="inlineStr">
        <is>
          <t>STOCKHOLMS LÄN</t>
        </is>
      </c>
      <c r="E15" t="inlineStr">
        <is>
          <t>SÖDERTÄLJE</t>
        </is>
      </c>
      <c r="G15" t="n">
        <v>11.8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Hedpärlemorfjäril
Sexfläckig bastardsvärmare</t>
        </is>
      </c>
      <c r="S15">
        <f>HYPERLINK("https://klasma.github.io/Logging_0181/artfynd/A 17648-2021 artfynd.xlsx", "A 17648-2021")</f>
        <v/>
      </c>
      <c r="T15">
        <f>HYPERLINK("https://klasma.github.io/Logging_0181/kartor/A 17648-2021 karta.png", "A 17648-2021")</f>
        <v/>
      </c>
      <c r="V15">
        <f>HYPERLINK("https://klasma.github.io/Logging_0181/klagomål/A 17648-2021 FSC-klagomål.docx", "A 17648-2021")</f>
        <v/>
      </c>
      <c r="W15">
        <f>HYPERLINK("https://klasma.github.io/Logging_0181/klagomålsmail/A 17648-2021 FSC-klagomål mail.docx", "A 17648-2021")</f>
        <v/>
      </c>
      <c r="X15">
        <f>HYPERLINK("https://klasma.github.io/Logging_0181/tillsyn/A 17648-2021 tillsynsbegäran.docx", "A 17648-2021")</f>
        <v/>
      </c>
      <c r="Y15">
        <f>HYPERLINK("https://klasma.github.io/Logging_0181/tillsynsmail/A 17648-2021 tillsynsbegäran mail.docx", "A 17648-2021")</f>
        <v/>
      </c>
    </row>
    <row r="16" ht="15" customHeight="1">
      <c r="A16" t="inlineStr">
        <is>
          <t>A 52046-2022</t>
        </is>
      </c>
      <c r="B16" s="1" t="n">
        <v>44868</v>
      </c>
      <c r="C16" s="1" t="n">
        <v>45510</v>
      </c>
      <c r="D16" t="inlineStr">
        <is>
          <t>STOCKHOLMS LÄN</t>
        </is>
      </c>
      <c r="E16" t="inlineStr">
        <is>
          <t>SÖDERTÄLJE</t>
        </is>
      </c>
      <c r="F16" t="inlineStr">
        <is>
          <t>Kommuner</t>
        </is>
      </c>
      <c r="G16" t="n">
        <v>22.9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Tjockfotad fingersvamp
Nattviol</t>
        </is>
      </c>
      <c r="S16">
        <f>HYPERLINK("https://klasma.github.io/Logging_0181/artfynd/A 52046-2022 artfynd.xlsx", "A 52046-2022")</f>
        <v/>
      </c>
      <c r="T16">
        <f>HYPERLINK("https://klasma.github.io/Logging_0181/kartor/A 52046-2022 karta.png", "A 52046-2022")</f>
        <v/>
      </c>
      <c r="V16">
        <f>HYPERLINK("https://klasma.github.io/Logging_0181/klagomål/A 52046-2022 FSC-klagomål.docx", "A 52046-2022")</f>
        <v/>
      </c>
      <c r="W16">
        <f>HYPERLINK("https://klasma.github.io/Logging_0181/klagomålsmail/A 52046-2022 FSC-klagomål mail.docx", "A 52046-2022")</f>
        <v/>
      </c>
      <c r="X16">
        <f>HYPERLINK("https://klasma.github.io/Logging_0181/tillsyn/A 52046-2022 tillsynsbegäran.docx", "A 52046-2022")</f>
        <v/>
      </c>
      <c r="Y16">
        <f>HYPERLINK("https://klasma.github.io/Logging_0181/tillsynsmail/A 52046-2022 tillsynsbegäran mail.docx", "A 52046-2022")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45510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45510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27513-2019</t>
        </is>
      </c>
      <c r="B19" s="1" t="n">
        <v>43619</v>
      </c>
      <c r="C19" s="1" t="n">
        <v>45510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HYPERLINK("https://klasma.github.io/Logging_0181/artfynd/A 27513-2019 artfynd.xlsx", "A 27513-2019")</f>
        <v/>
      </c>
      <c r="T19">
        <f>HYPERLINK("https://klasma.github.io/Logging_0181/kartor/A 27513-2019 karta.png", "A 27513-2019")</f>
        <v/>
      </c>
      <c r="V19">
        <f>HYPERLINK("https://klasma.github.io/Logging_0181/klagomål/A 27513-2019 FSC-klagomål.docx", "A 27513-2019")</f>
        <v/>
      </c>
      <c r="W19">
        <f>HYPERLINK("https://klasma.github.io/Logging_0181/klagomålsmail/A 27513-2019 FSC-klagomål mail.docx", "A 27513-2019")</f>
        <v/>
      </c>
      <c r="X19">
        <f>HYPERLINK("https://klasma.github.io/Logging_0181/tillsyn/A 27513-2019 tillsynsbegäran.docx", "A 27513-2019")</f>
        <v/>
      </c>
      <c r="Y19">
        <f>HYPERLINK("https://klasma.github.io/Logging_0181/tillsynsmail/A 27513-2019 tillsynsbegäran mail.docx", "A 27513-2019")</f>
        <v/>
      </c>
    </row>
    <row r="20" ht="15" customHeight="1">
      <c r="A20" t="inlineStr">
        <is>
          <t>A 59643-2019</t>
        </is>
      </c>
      <c r="B20" s="1" t="n">
        <v>43776</v>
      </c>
      <c r="C20" s="1" t="n">
        <v>45510</v>
      </c>
      <c r="D20" t="inlineStr">
        <is>
          <t>STOCKHOLMS LÄN</t>
        </is>
      </c>
      <c r="E20" t="inlineStr">
        <is>
          <t>SÖDERTÄLJE</t>
        </is>
      </c>
      <c r="G20" t="n">
        <v>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HYPERLINK("https://klasma.github.io/Logging_0181/artfynd/A 59643-2019 artfynd.xlsx", "A 59643-2019")</f>
        <v/>
      </c>
      <c r="T20">
        <f>HYPERLINK("https://klasma.github.io/Logging_0181/kartor/A 59643-2019 karta.png", "A 59643-2019")</f>
        <v/>
      </c>
      <c r="U20">
        <f>HYPERLINK("https://klasma.github.io/Logging_0181/knärot/A 59643-2019 karta knärot.png", "A 59643-2019")</f>
        <v/>
      </c>
      <c r="V20">
        <f>HYPERLINK("https://klasma.github.io/Logging_0181/klagomål/A 59643-2019 FSC-klagomål.docx", "A 59643-2019")</f>
        <v/>
      </c>
      <c r="W20">
        <f>HYPERLINK("https://klasma.github.io/Logging_0181/klagomålsmail/A 59643-2019 FSC-klagomål mail.docx", "A 59643-2019")</f>
        <v/>
      </c>
      <c r="X20">
        <f>HYPERLINK("https://klasma.github.io/Logging_0181/tillsyn/A 59643-2019 tillsynsbegäran.docx", "A 59643-2019")</f>
        <v/>
      </c>
      <c r="Y20">
        <f>HYPERLINK("https://klasma.github.io/Logging_0181/tillsynsmail/A 59643-2019 tillsynsbegäran mail.docx", "A 59643-2019")</f>
        <v/>
      </c>
    </row>
    <row r="21" ht="15" customHeight="1">
      <c r="A21" t="inlineStr">
        <is>
          <t>A 12832-2020</t>
        </is>
      </c>
      <c r="B21" s="1" t="n">
        <v>43899</v>
      </c>
      <c r="C21" s="1" t="n">
        <v>45510</v>
      </c>
      <c r="D21" t="inlineStr">
        <is>
          <t>STOCKHOLMS LÄN</t>
        </is>
      </c>
      <c r="E21" t="inlineStr">
        <is>
          <t>SÖDERTÄLJE</t>
        </is>
      </c>
      <c r="G21" t="n">
        <v>3.8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Ängsskära</t>
        </is>
      </c>
      <c r="S21">
        <f>HYPERLINK("https://klasma.github.io/Logging_0181/artfynd/A 12832-2020 artfynd.xlsx", "A 12832-2020")</f>
        <v/>
      </c>
      <c r="T21">
        <f>HYPERLINK("https://klasma.github.io/Logging_0181/kartor/A 12832-2020 karta.png", "A 12832-2020")</f>
        <v/>
      </c>
      <c r="V21">
        <f>HYPERLINK("https://klasma.github.io/Logging_0181/klagomål/A 12832-2020 FSC-klagomål.docx", "A 12832-2020")</f>
        <v/>
      </c>
      <c r="W21">
        <f>HYPERLINK("https://klasma.github.io/Logging_0181/klagomålsmail/A 12832-2020 FSC-klagomål mail.docx", "A 12832-2020")</f>
        <v/>
      </c>
      <c r="X21">
        <f>HYPERLINK("https://klasma.github.io/Logging_0181/tillsyn/A 12832-2020 tillsynsbegäran.docx", "A 12832-2020")</f>
        <v/>
      </c>
      <c r="Y21">
        <f>HYPERLINK("https://klasma.github.io/Logging_0181/tillsynsmail/A 12832-2020 tillsynsbegäran mail.docx", "A 12832-2020")</f>
        <v/>
      </c>
    </row>
    <row r="22" ht="15" customHeight="1">
      <c r="A22" t="inlineStr">
        <is>
          <t>A 27757-2021</t>
        </is>
      </c>
      <c r="B22" s="1" t="n">
        <v>44354</v>
      </c>
      <c r="C22" s="1" t="n">
        <v>45510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Ryl</t>
        </is>
      </c>
      <c r="S22">
        <f>HYPERLINK("https://klasma.github.io/Logging_0181/artfynd/A 27757-2021 artfynd.xlsx", "A 27757-2021")</f>
        <v/>
      </c>
      <c r="T22">
        <f>HYPERLINK("https://klasma.github.io/Logging_0181/kartor/A 27757-2021 karta.png", "A 27757-2021")</f>
        <v/>
      </c>
      <c r="V22">
        <f>HYPERLINK("https://klasma.github.io/Logging_0181/klagomål/A 27757-2021 FSC-klagomål.docx", "A 27757-2021")</f>
        <v/>
      </c>
      <c r="W22">
        <f>HYPERLINK("https://klasma.github.io/Logging_0181/klagomålsmail/A 27757-2021 FSC-klagomål mail.docx", "A 27757-2021")</f>
        <v/>
      </c>
      <c r="X22">
        <f>HYPERLINK("https://klasma.github.io/Logging_0181/tillsyn/A 27757-2021 tillsynsbegäran.docx", "A 27757-2021")</f>
        <v/>
      </c>
      <c r="Y22">
        <f>HYPERLINK("https://klasma.github.io/Logging_0181/tillsynsmail/A 27757-2021 tillsynsbegäran mail.docx", "A 27757-2021")</f>
        <v/>
      </c>
    </row>
    <row r="23" ht="15" customHeight="1">
      <c r="A23" t="inlineStr">
        <is>
          <t>A 37678-2021</t>
        </is>
      </c>
      <c r="B23" s="1" t="n">
        <v>44400</v>
      </c>
      <c r="C23" s="1" t="n">
        <v>45510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HYPERLINK("https://klasma.github.io/Logging_0181/artfynd/A 37678-2021 artfynd.xlsx", "A 37678-2021")</f>
        <v/>
      </c>
      <c r="T23">
        <f>HYPERLINK("https://klasma.github.io/Logging_0181/kartor/A 37678-2021 karta.png", "A 37678-2021")</f>
        <v/>
      </c>
      <c r="V23">
        <f>HYPERLINK("https://klasma.github.io/Logging_0181/klagomål/A 37678-2021 FSC-klagomål.docx", "A 37678-2021")</f>
        <v/>
      </c>
      <c r="W23">
        <f>HYPERLINK("https://klasma.github.io/Logging_0181/klagomålsmail/A 37678-2021 FSC-klagomål mail.docx", "A 37678-2021")</f>
        <v/>
      </c>
      <c r="X23">
        <f>HYPERLINK("https://klasma.github.io/Logging_0181/tillsyn/A 37678-2021 tillsynsbegäran.docx", "A 37678-2021")</f>
        <v/>
      </c>
      <c r="Y23">
        <f>HYPERLINK("https://klasma.github.io/Logging_0181/tillsynsmail/A 37678-2021 tillsynsbegäran mail.docx", "A 37678-2021")</f>
        <v/>
      </c>
    </row>
    <row r="24" ht="15" customHeight="1">
      <c r="A24" t="inlineStr">
        <is>
          <t>A 55263-2021</t>
        </is>
      </c>
      <c r="B24" s="1" t="n">
        <v>44475</v>
      </c>
      <c r="C24" s="1" t="n">
        <v>45510</v>
      </c>
      <c r="D24" t="inlineStr">
        <is>
          <t>STOCKHOLMS LÄN</t>
        </is>
      </c>
      <c r="E24" t="inlineStr">
        <is>
          <t>SÖDERTÄLJE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Backklöver</t>
        </is>
      </c>
      <c r="S24">
        <f>HYPERLINK("https://klasma.github.io/Logging_0181/artfynd/A 55263-2021 artfynd.xlsx", "A 55263-2021")</f>
        <v/>
      </c>
      <c r="T24">
        <f>HYPERLINK("https://klasma.github.io/Logging_0181/kartor/A 55263-2021 karta.png", "A 55263-2021")</f>
        <v/>
      </c>
      <c r="V24">
        <f>HYPERLINK("https://klasma.github.io/Logging_0181/klagomål/A 55263-2021 FSC-klagomål.docx", "A 55263-2021")</f>
        <v/>
      </c>
      <c r="W24">
        <f>HYPERLINK("https://klasma.github.io/Logging_0181/klagomålsmail/A 55263-2021 FSC-klagomål mail.docx", "A 55263-2021")</f>
        <v/>
      </c>
      <c r="X24">
        <f>HYPERLINK("https://klasma.github.io/Logging_0181/tillsyn/A 55263-2021 tillsynsbegäran.docx", "A 55263-2021")</f>
        <v/>
      </c>
      <c r="Y24">
        <f>HYPERLINK("https://klasma.github.io/Logging_0181/tillsynsmail/A 55263-2021 tillsynsbegäran mail.docx", "A 55263-2021")</f>
        <v/>
      </c>
    </row>
    <row r="25" ht="15" customHeight="1">
      <c r="A25" t="inlineStr">
        <is>
          <t>A 1946-2022</t>
        </is>
      </c>
      <c r="B25" s="1" t="n">
        <v>44575</v>
      </c>
      <c r="C25" s="1" t="n">
        <v>45510</v>
      </c>
      <c r="D25" t="inlineStr">
        <is>
          <t>STOCKHOLMS LÄN</t>
        </is>
      </c>
      <c r="E25" t="inlineStr">
        <is>
          <t>SÖDERTÄLJE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vattensalamander</t>
        </is>
      </c>
      <c r="S25">
        <f>HYPERLINK("https://klasma.github.io/Logging_0181/artfynd/A 1946-2022 artfynd.xlsx", "A 1946-2022")</f>
        <v/>
      </c>
      <c r="T25">
        <f>HYPERLINK("https://klasma.github.io/Logging_0181/kartor/A 1946-2022 karta.png", "A 1946-2022")</f>
        <v/>
      </c>
      <c r="V25">
        <f>HYPERLINK("https://klasma.github.io/Logging_0181/klagomål/A 1946-2022 FSC-klagomål.docx", "A 1946-2022")</f>
        <v/>
      </c>
      <c r="W25">
        <f>HYPERLINK("https://klasma.github.io/Logging_0181/klagomålsmail/A 1946-2022 FSC-klagomål mail.docx", "A 1946-2022")</f>
        <v/>
      </c>
      <c r="X25">
        <f>HYPERLINK("https://klasma.github.io/Logging_0181/tillsyn/A 1946-2022 tillsynsbegäran.docx", "A 1946-2022")</f>
        <v/>
      </c>
      <c r="Y25">
        <f>HYPERLINK("https://klasma.github.io/Logging_0181/tillsynsmail/A 1946-2022 tillsynsbegäran mail.docx", "A 1946-2022")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45510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44958-2022</t>
        </is>
      </c>
      <c r="B27" s="1" t="n">
        <v>44841</v>
      </c>
      <c r="C27" s="1" t="n">
        <v>45510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HYPERLINK("https://klasma.github.io/Logging_0181/artfynd/A 44958-2022 artfynd.xlsx", "A 44958-2022")</f>
        <v/>
      </c>
      <c r="T27">
        <f>HYPERLINK("https://klasma.github.io/Logging_0181/kartor/A 44958-2022 karta.png", "A 44958-2022")</f>
        <v/>
      </c>
      <c r="V27">
        <f>HYPERLINK("https://klasma.github.io/Logging_0181/klagomål/A 44958-2022 FSC-klagomål.docx", "A 44958-2022")</f>
        <v/>
      </c>
      <c r="W27">
        <f>HYPERLINK("https://klasma.github.io/Logging_0181/klagomålsmail/A 44958-2022 FSC-klagomål mail.docx", "A 44958-2022")</f>
        <v/>
      </c>
      <c r="X27">
        <f>HYPERLINK("https://klasma.github.io/Logging_0181/tillsyn/A 44958-2022 tillsynsbegäran.docx", "A 44958-2022")</f>
        <v/>
      </c>
      <c r="Y27">
        <f>HYPERLINK("https://klasma.github.io/Logging_0181/tillsynsmail/A 44958-2022 tillsynsbegäran mail.docx", "A 44958-2022")</f>
        <v/>
      </c>
    </row>
    <row r="28" ht="15" customHeight="1">
      <c r="A28" t="inlineStr">
        <is>
          <t>A 13199-2023</t>
        </is>
      </c>
      <c r="B28" s="1" t="n">
        <v>45002</v>
      </c>
      <c r="C28" s="1" t="n">
        <v>45510</v>
      </c>
      <c r="D28" t="inlineStr">
        <is>
          <t>STOCKHOLMS LÄN</t>
        </is>
      </c>
      <c r="E28" t="inlineStr">
        <is>
          <t>SÖDERTÄLJE</t>
        </is>
      </c>
      <c r="G28" t="n">
        <v>7.2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Gröngöling</t>
        </is>
      </c>
      <c r="S28">
        <f>HYPERLINK("https://klasma.github.io/Logging_0181/artfynd/A 13199-2023 artfynd.xlsx", "A 13199-2023")</f>
        <v/>
      </c>
      <c r="T28">
        <f>HYPERLINK("https://klasma.github.io/Logging_0181/kartor/A 13199-2023 karta.png", "A 13199-2023")</f>
        <v/>
      </c>
      <c r="V28">
        <f>HYPERLINK("https://klasma.github.io/Logging_0181/klagomål/A 13199-2023 FSC-klagomål.docx", "A 13199-2023")</f>
        <v/>
      </c>
      <c r="W28">
        <f>HYPERLINK("https://klasma.github.io/Logging_0181/klagomålsmail/A 13199-2023 FSC-klagomål mail.docx", "A 13199-2023")</f>
        <v/>
      </c>
      <c r="X28">
        <f>HYPERLINK("https://klasma.github.io/Logging_0181/tillsyn/A 13199-2023 tillsynsbegäran.docx", "A 13199-2023")</f>
        <v/>
      </c>
      <c r="Y28">
        <f>HYPERLINK("https://klasma.github.io/Logging_0181/tillsynsmail/A 13199-2023 tillsynsbegäran mail.docx", "A 13199-2023")</f>
        <v/>
      </c>
      <c r="Z28">
        <f>HYPERLINK("https://klasma.github.io/Logging_0181/fåglar/A 13199-2023 prioriterade fågelarter.docx", "A 13199-2023")</f>
        <v/>
      </c>
    </row>
    <row r="29" ht="15" customHeight="1">
      <c r="A29" t="inlineStr">
        <is>
          <t>A 14092-2023</t>
        </is>
      </c>
      <c r="B29" s="1" t="n">
        <v>45009</v>
      </c>
      <c r="C29" s="1" t="n">
        <v>45510</v>
      </c>
      <c r="D29" t="inlineStr">
        <is>
          <t>STOCKHOLMS LÄN</t>
        </is>
      </c>
      <c r="E29" t="inlineStr">
        <is>
          <t>SÖDERTÄLJE</t>
        </is>
      </c>
      <c r="F29" t="inlineStr">
        <is>
          <t>Kyrkan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HYPERLINK("https://klasma.github.io/Logging_0181/artfynd/A 14092-2023 artfynd.xlsx", "A 14092-2023")</f>
        <v/>
      </c>
      <c r="T29">
        <f>HYPERLINK("https://klasma.github.io/Logging_0181/kartor/A 14092-2023 karta.png", "A 14092-2023")</f>
        <v/>
      </c>
      <c r="V29">
        <f>HYPERLINK("https://klasma.github.io/Logging_0181/klagomål/A 14092-2023 FSC-klagomål.docx", "A 14092-2023")</f>
        <v/>
      </c>
      <c r="W29">
        <f>HYPERLINK("https://klasma.github.io/Logging_0181/klagomålsmail/A 14092-2023 FSC-klagomål mail.docx", "A 14092-2023")</f>
        <v/>
      </c>
      <c r="X29">
        <f>HYPERLINK("https://klasma.github.io/Logging_0181/tillsyn/A 14092-2023 tillsynsbegäran.docx", "A 14092-2023")</f>
        <v/>
      </c>
      <c r="Y29">
        <f>HYPERLINK("https://klasma.github.io/Logging_0181/tillsynsmail/A 14092-2023 tillsynsbegäran mail.docx", "A 14092-2023")</f>
        <v/>
      </c>
      <c r="Z29">
        <f>HYPERLINK("https://klasma.github.io/Logging_0181/fåglar/A 14092-2023 prioriterade fågelarter.docx", "A 14092-2023")</f>
        <v/>
      </c>
    </row>
    <row r="30" ht="15" customHeight="1">
      <c r="A30" t="inlineStr">
        <is>
          <t>A 35155-2023</t>
        </is>
      </c>
      <c r="B30" s="1" t="n">
        <v>45145</v>
      </c>
      <c r="C30" s="1" t="n">
        <v>45510</v>
      </c>
      <c r="D30" t="inlineStr">
        <is>
          <t>STOCKHOLMS LÄN</t>
        </is>
      </c>
      <c r="E30" t="inlineStr">
        <is>
          <t>SÖDERTÄLJE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HYPERLINK("https://klasma.github.io/Logging_0181/artfynd/A 35155-2023 artfynd.xlsx", "A 35155-2023")</f>
        <v/>
      </c>
      <c r="T30">
        <f>HYPERLINK("https://klasma.github.io/Logging_0181/kartor/A 35155-2023 karta.png", "A 35155-2023")</f>
        <v/>
      </c>
      <c r="V30">
        <f>HYPERLINK("https://klasma.github.io/Logging_0181/klagomål/A 35155-2023 FSC-klagomål.docx", "A 35155-2023")</f>
        <v/>
      </c>
      <c r="W30">
        <f>HYPERLINK("https://klasma.github.io/Logging_0181/klagomålsmail/A 35155-2023 FSC-klagomål mail.docx", "A 35155-2023")</f>
        <v/>
      </c>
      <c r="X30">
        <f>HYPERLINK("https://klasma.github.io/Logging_0181/tillsyn/A 35155-2023 tillsynsbegäran.docx", "A 35155-2023")</f>
        <v/>
      </c>
      <c r="Y30">
        <f>HYPERLINK("https://klasma.github.io/Logging_0181/tillsynsmail/A 35155-2023 tillsynsbegäran mail.docx", "A 35155-2023")</f>
        <v/>
      </c>
    </row>
    <row r="31" ht="15" customHeight="1">
      <c r="A31" t="inlineStr">
        <is>
          <t>A 47711-2023</t>
        </is>
      </c>
      <c r="B31" s="1" t="n">
        <v>45198</v>
      </c>
      <c r="C31" s="1" t="n">
        <v>45510</v>
      </c>
      <c r="D31" t="inlineStr">
        <is>
          <t>STOCKHOLMS LÄN</t>
        </is>
      </c>
      <c r="E31" t="inlineStr">
        <is>
          <t>SÖDERTÄLJE</t>
        </is>
      </c>
      <c r="G31" t="n">
        <v>4.4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HYPERLINK("https://klasma.github.io/Logging_0181/artfynd/A 47711-2023 artfynd.xlsx", "A 47711-2023")</f>
        <v/>
      </c>
      <c r="T31">
        <f>HYPERLINK("https://klasma.github.io/Logging_0181/kartor/A 47711-2023 karta.png", "A 47711-2023")</f>
        <v/>
      </c>
      <c r="V31">
        <f>HYPERLINK("https://klasma.github.io/Logging_0181/klagomål/A 47711-2023 FSC-klagomål.docx", "A 47711-2023")</f>
        <v/>
      </c>
      <c r="W31">
        <f>HYPERLINK("https://klasma.github.io/Logging_0181/klagomålsmail/A 47711-2023 FSC-klagomål mail.docx", "A 47711-2023")</f>
        <v/>
      </c>
      <c r="X31">
        <f>HYPERLINK("https://klasma.github.io/Logging_0181/tillsyn/A 47711-2023 tillsynsbegäran.docx", "A 47711-2023")</f>
        <v/>
      </c>
      <c r="Y31">
        <f>HYPERLINK("https://klasma.github.io/Logging_0181/tillsynsmail/A 47711-2023 tillsynsbegäran mail.docx", "A 47711-2023")</f>
        <v/>
      </c>
    </row>
    <row r="32" ht="15" customHeight="1">
      <c r="A32" t="inlineStr">
        <is>
          <t>A 12968-2024</t>
        </is>
      </c>
      <c r="B32" s="1" t="n">
        <v>45385</v>
      </c>
      <c r="C32" s="1" t="n">
        <v>45510</v>
      </c>
      <c r="D32" t="inlineStr">
        <is>
          <t>STOCKHOLMS LÄN</t>
        </is>
      </c>
      <c r="E32" t="inlineStr">
        <is>
          <t>SÖDERTÄLJE</t>
        </is>
      </c>
      <c r="F32" t="inlineStr">
        <is>
          <t>Kommuner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HYPERLINK("https://klasma.github.io/Logging_0181/artfynd/A 12968-2024 artfynd.xlsx", "A 12968-2024")</f>
        <v/>
      </c>
      <c r="T32">
        <f>HYPERLINK("https://klasma.github.io/Logging_0181/kartor/A 12968-2024 karta.png", "A 12968-2024")</f>
        <v/>
      </c>
      <c r="V32">
        <f>HYPERLINK("https://klasma.github.io/Logging_0181/klagomål/A 12968-2024 FSC-klagomål.docx", "A 12968-2024")</f>
        <v/>
      </c>
      <c r="W32">
        <f>HYPERLINK("https://klasma.github.io/Logging_0181/klagomålsmail/A 12968-2024 FSC-klagomål mail.docx", "A 12968-2024")</f>
        <v/>
      </c>
      <c r="X32">
        <f>HYPERLINK("https://klasma.github.io/Logging_0181/tillsyn/A 12968-2024 tillsynsbegäran.docx", "A 12968-2024")</f>
        <v/>
      </c>
      <c r="Y32">
        <f>HYPERLINK("https://klasma.github.io/Logging_0181/tillsynsmail/A 12968-2024 tillsynsbegäran mail.docx", "A 12968-2024")</f>
        <v/>
      </c>
    </row>
    <row r="33" ht="15" customHeight="1">
      <c r="A33" t="inlineStr">
        <is>
          <t>A 19793-2024</t>
        </is>
      </c>
      <c r="B33" s="1" t="n">
        <v>45432</v>
      </c>
      <c r="C33" s="1" t="n">
        <v>45510</v>
      </c>
      <c r="D33" t="inlineStr">
        <is>
          <t>STOCKHOLMS LÄN</t>
        </is>
      </c>
      <c r="E33" t="inlineStr">
        <is>
          <t>SÖDERTÄLJE</t>
        </is>
      </c>
      <c r="F33" t="inlineStr">
        <is>
          <t>Övriga Aktiebolag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Fjällig taggsvamp s.str.</t>
        </is>
      </c>
      <c r="S33">
        <f>HYPERLINK("https://klasma.github.io/Logging_0181/artfynd/A 19793-2024 artfynd.xlsx", "A 19793-2024")</f>
        <v/>
      </c>
      <c r="T33">
        <f>HYPERLINK("https://klasma.github.io/Logging_0181/kartor/A 19793-2024 karta.png", "A 19793-2024")</f>
        <v/>
      </c>
      <c r="V33">
        <f>HYPERLINK("https://klasma.github.io/Logging_0181/klagomål/A 19793-2024 FSC-klagomål.docx", "A 19793-2024")</f>
        <v/>
      </c>
      <c r="W33">
        <f>HYPERLINK("https://klasma.github.io/Logging_0181/klagomålsmail/A 19793-2024 FSC-klagomål mail.docx", "A 19793-2024")</f>
        <v/>
      </c>
      <c r="X33">
        <f>HYPERLINK("https://klasma.github.io/Logging_0181/tillsyn/A 19793-2024 tillsynsbegäran.docx", "A 19793-2024")</f>
        <v/>
      </c>
      <c r="Y33">
        <f>HYPERLINK("https://klasma.github.io/Logging_0181/tillsynsmail/A 19793-2024 tillsynsbegäran mail.docx", "A 19793-2024")</f>
        <v/>
      </c>
    </row>
    <row r="34" ht="15" customHeight="1">
      <c r="A34" t="inlineStr">
        <is>
          <t>A 31006-2024</t>
        </is>
      </c>
      <c r="B34" s="1" t="n">
        <v>45499</v>
      </c>
      <c r="C34" s="1" t="n">
        <v>45510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HYPERLINK("https://klasma.github.io/Logging_0181/artfynd/A 31006-2024 artfynd.xlsx", "A 31006-2024")</f>
        <v/>
      </c>
      <c r="T34">
        <f>HYPERLINK("https://klasma.github.io/Logging_0181/kartor/A 31006-2024 karta.png", "A 31006-2024")</f>
        <v/>
      </c>
      <c r="V34">
        <f>HYPERLINK("https://klasma.github.io/Logging_0181/klagomål/A 31006-2024 FSC-klagomål.docx", "A 31006-2024")</f>
        <v/>
      </c>
      <c r="W34">
        <f>HYPERLINK("https://klasma.github.io/Logging_0181/klagomålsmail/A 31006-2024 FSC-klagomål mail.docx", "A 31006-2024")</f>
        <v/>
      </c>
      <c r="X34">
        <f>HYPERLINK("https://klasma.github.io/Logging_0181/tillsyn/A 31006-2024 tillsynsbegäran.docx", "A 31006-2024")</f>
        <v/>
      </c>
      <c r="Y34">
        <f>HYPERLINK("https://klasma.github.io/Logging_0181/tillsynsmail/A 31006-2024 tillsynsbegäran mail.docx", "A 31006-2024")</f>
        <v/>
      </c>
    </row>
    <row r="35" ht="15" customHeight="1">
      <c r="A35" t="inlineStr">
        <is>
          <t>A 31371-2024</t>
        </is>
      </c>
      <c r="B35" s="1" t="n">
        <v>45505</v>
      </c>
      <c r="C35" s="1" t="n">
        <v>45510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Dofttaggsvamp</t>
        </is>
      </c>
      <c r="S35">
        <f>HYPERLINK("https://klasma.github.io/Logging_0181/artfynd/A 31371-2024 artfynd.xlsx", "A 31371-2024")</f>
        <v/>
      </c>
      <c r="T35">
        <f>HYPERLINK("https://klasma.github.io/Logging_0181/kartor/A 31371-2024 karta.png", "A 31371-2024")</f>
        <v/>
      </c>
      <c r="V35">
        <f>HYPERLINK("https://klasma.github.io/Logging_0181/klagomål/A 31371-2024 FSC-klagomål.docx", "A 31371-2024")</f>
        <v/>
      </c>
      <c r="W35">
        <f>HYPERLINK("https://klasma.github.io/Logging_0181/klagomålsmail/A 31371-2024 FSC-klagomål mail.docx", "A 31371-2024")</f>
        <v/>
      </c>
      <c r="X35">
        <f>HYPERLINK("https://klasma.github.io/Logging_0181/tillsyn/A 31371-2024 tillsynsbegäran.docx", "A 31371-2024")</f>
        <v/>
      </c>
      <c r="Y35">
        <f>HYPERLINK("https://klasma.github.io/Logging_0181/tillsynsmail/A 31371-2024 tillsynsbegäran mail.docx", "A 31371-2024")</f>
        <v/>
      </c>
    </row>
    <row r="36" ht="15" customHeight="1">
      <c r="A36" t="inlineStr">
        <is>
          <t>A 24657-2019</t>
        </is>
      </c>
      <c r="B36" s="1" t="n">
        <v>43601</v>
      </c>
      <c r="C36" s="1" t="n">
        <v>45510</v>
      </c>
      <c r="D36" t="inlineStr">
        <is>
          <t>STOCKHOLMS LÄN</t>
        </is>
      </c>
      <c r="E36" t="inlineStr">
        <is>
          <t>SÖDERTÄLJE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26566-2019</t>
        </is>
      </c>
      <c r="B37" s="1" t="n">
        <v>43612</v>
      </c>
      <c r="C37" s="1" t="n">
        <v>45510</v>
      </c>
      <c r="D37" t="inlineStr">
        <is>
          <t>STOCKHOLMS LÄN</t>
        </is>
      </c>
      <c r="E37" t="inlineStr">
        <is>
          <t>SÖDERTÄLJE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27505-2019</t>
        </is>
      </c>
      <c r="B38" s="1" t="n">
        <v>43619</v>
      </c>
      <c r="C38" s="1" t="n">
        <v>45510</v>
      </c>
      <c r="D38" t="inlineStr">
        <is>
          <t>STOCKHOLMS LÄN</t>
        </is>
      </c>
      <c r="E38" t="inlineStr">
        <is>
          <t>SÖDERTÄLJE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27502-2019</t>
        </is>
      </c>
      <c r="B39" s="1" t="n">
        <v>43619</v>
      </c>
      <c r="C39" s="1" t="n">
        <v>45510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31662-2019</t>
        </is>
      </c>
      <c r="B40" s="1" t="n">
        <v>43642</v>
      </c>
      <c r="C40" s="1" t="n">
        <v>45510</v>
      </c>
      <c r="D40" t="inlineStr">
        <is>
          <t>STOCKHOLMS LÄN</t>
        </is>
      </c>
      <c r="E40" t="inlineStr">
        <is>
          <t>SÖDERTÄLJE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36882-2019</t>
        </is>
      </c>
      <c r="B41" s="1" t="n">
        <v>43675</v>
      </c>
      <c r="C41" s="1" t="n">
        <v>45510</v>
      </c>
      <c r="D41" t="inlineStr">
        <is>
          <t>STOCKHOLMS LÄN</t>
        </is>
      </c>
      <c r="E41" t="inlineStr">
        <is>
          <t>SÖDERTÄLJE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37227-2019</t>
        </is>
      </c>
      <c r="B42" s="1" t="n">
        <v>43677</v>
      </c>
      <c r="C42" s="1" t="n">
        <v>45510</v>
      </c>
      <c r="D42" t="inlineStr">
        <is>
          <t>STOCKHOLMS LÄN</t>
        </is>
      </c>
      <c r="E42" t="inlineStr">
        <is>
          <t>SÖDERTÄLJE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39090-2019</t>
        </is>
      </c>
      <c r="B43" s="1" t="n">
        <v>43689</v>
      </c>
      <c r="C43" s="1" t="n">
        <v>45510</v>
      </c>
      <c r="D43" t="inlineStr">
        <is>
          <t>STOCKHOLMS LÄN</t>
        </is>
      </c>
      <c r="E43" t="inlineStr">
        <is>
          <t>SÖDERTÄLJE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39083-2019</t>
        </is>
      </c>
      <c r="B44" s="1" t="n">
        <v>43689</v>
      </c>
      <c r="C44" s="1" t="n">
        <v>45510</v>
      </c>
      <c r="D44" t="inlineStr">
        <is>
          <t>STOCKHOLMS LÄN</t>
        </is>
      </c>
      <c r="E44" t="inlineStr">
        <is>
          <t>SÖDERTÄLJE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41065-2019</t>
        </is>
      </c>
      <c r="B45" s="1" t="n">
        <v>43697</v>
      </c>
      <c r="C45" s="1" t="n">
        <v>45510</v>
      </c>
      <c r="D45" t="inlineStr">
        <is>
          <t>STOCKHOLMS LÄN</t>
        </is>
      </c>
      <c r="E45" t="inlineStr">
        <is>
          <t>SÖDERTÄLJE</t>
        </is>
      </c>
      <c r="F45" t="inlineStr">
        <is>
          <t>Övriga statliga verk och myndigheter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42669-2019</t>
        </is>
      </c>
      <c r="B46" s="1" t="n">
        <v>43704</v>
      </c>
      <c r="C46" s="1" t="n">
        <v>45510</v>
      </c>
      <c r="D46" t="inlineStr">
        <is>
          <t>STOCKHOLMS LÄN</t>
        </is>
      </c>
      <c r="E46" t="inlineStr">
        <is>
          <t>SÖDERTÄLJE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44921-2019</t>
        </is>
      </c>
      <c r="B47" s="1" t="n">
        <v>43712</v>
      </c>
      <c r="C47" s="1" t="n">
        <v>45510</v>
      </c>
      <c r="D47" t="inlineStr">
        <is>
          <t>STOCKHOLMS LÄN</t>
        </is>
      </c>
      <c r="E47" t="inlineStr">
        <is>
          <t>SÖDERTÄLJE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45306-2019</t>
        </is>
      </c>
      <c r="B48" s="1" t="n">
        <v>43713</v>
      </c>
      <c r="C48" s="1" t="n">
        <v>45510</v>
      </c>
      <c r="D48" t="inlineStr">
        <is>
          <t>STOCKHOLMS LÄN</t>
        </is>
      </c>
      <c r="E48" t="inlineStr">
        <is>
          <t>SÖDERTÄLJE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49130-2019</t>
        </is>
      </c>
      <c r="B49" s="1" t="n">
        <v>43731</v>
      </c>
      <c r="C49" s="1" t="n">
        <v>45510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49131-2019</t>
        </is>
      </c>
      <c r="B50" s="1" t="n">
        <v>43731</v>
      </c>
      <c r="C50" s="1" t="n">
        <v>45510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50396-2019</t>
        </is>
      </c>
      <c r="B51" s="1" t="n">
        <v>43735</v>
      </c>
      <c r="C51" s="1" t="n">
        <v>45510</v>
      </c>
      <c r="D51" t="inlineStr">
        <is>
          <t>STOCKHOLMS LÄN</t>
        </is>
      </c>
      <c r="E51" t="inlineStr">
        <is>
          <t>SÖDERTÄLJE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50435-2019</t>
        </is>
      </c>
      <c r="B52" s="1" t="n">
        <v>43735</v>
      </c>
      <c r="C52" s="1" t="n">
        <v>45510</v>
      </c>
      <c r="D52" t="inlineStr">
        <is>
          <t>STOCKHOLMS LÄN</t>
        </is>
      </c>
      <c r="E52" t="inlineStr">
        <is>
          <t>SÖDERTÄLJE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50443-2019</t>
        </is>
      </c>
      <c r="B53" s="1" t="n">
        <v>43735</v>
      </c>
      <c r="C53" s="1" t="n">
        <v>45510</v>
      </c>
      <c r="D53" t="inlineStr">
        <is>
          <t>STOCKHOLMS LÄN</t>
        </is>
      </c>
      <c r="E53" t="inlineStr">
        <is>
          <t>SÖDERTÄLJE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50389-2019</t>
        </is>
      </c>
      <c r="B54" s="1" t="n">
        <v>43735</v>
      </c>
      <c r="C54" s="1" t="n">
        <v>45510</v>
      </c>
      <c r="D54" t="inlineStr">
        <is>
          <t>STOCKHOLMS LÄN</t>
        </is>
      </c>
      <c r="E54" t="inlineStr">
        <is>
          <t>SÖDERTÄLJE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50425-2019</t>
        </is>
      </c>
      <c r="B55" s="1" t="n">
        <v>43735</v>
      </c>
      <c r="C55" s="1" t="n">
        <v>45510</v>
      </c>
      <c r="D55" t="inlineStr">
        <is>
          <t>STOCKHOLMS LÄN</t>
        </is>
      </c>
      <c r="E55" t="inlineStr">
        <is>
          <t>SÖDERTÄLJE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50446-2019</t>
        </is>
      </c>
      <c r="B56" s="1" t="n">
        <v>43735</v>
      </c>
      <c r="C56" s="1" t="n">
        <v>45510</v>
      </c>
      <c r="D56" t="inlineStr">
        <is>
          <t>STOCKHOLMS LÄN</t>
        </is>
      </c>
      <c r="E56" t="inlineStr">
        <is>
          <t>SÖDERTÄLJE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50441-2019</t>
        </is>
      </c>
      <c r="B57" s="1" t="n">
        <v>43735</v>
      </c>
      <c r="C57" s="1" t="n">
        <v>45510</v>
      </c>
      <c r="D57" t="inlineStr">
        <is>
          <t>STOCKHOLMS LÄN</t>
        </is>
      </c>
      <c r="E57" t="inlineStr">
        <is>
          <t>SÖDERTÄLJE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50419-2019</t>
        </is>
      </c>
      <c r="B58" s="1" t="n">
        <v>43735</v>
      </c>
      <c r="C58" s="1" t="n">
        <v>45510</v>
      </c>
      <c r="D58" t="inlineStr">
        <is>
          <t>STOCKHOLMS LÄN</t>
        </is>
      </c>
      <c r="E58" t="inlineStr">
        <is>
          <t>SÖDERTÄLJE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55974-2019</t>
        </is>
      </c>
      <c r="B59" s="1" t="n">
        <v>43759</v>
      </c>
      <c r="C59" s="1" t="n">
        <v>45510</v>
      </c>
      <c r="D59" t="inlineStr">
        <is>
          <t>STOCKHOLMS LÄN</t>
        </is>
      </c>
      <c r="E59" t="inlineStr">
        <is>
          <t>SÖDERTÄLJE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55866-2019</t>
        </is>
      </c>
      <c r="B60" s="1" t="n">
        <v>43759</v>
      </c>
      <c r="C60" s="1" t="n">
        <v>45510</v>
      </c>
      <c r="D60" t="inlineStr">
        <is>
          <t>STOCKHOLMS LÄN</t>
        </is>
      </c>
      <c r="E60" t="inlineStr">
        <is>
          <t>SÖDERTÄLJE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55954-2019</t>
        </is>
      </c>
      <c r="B61" s="1" t="n">
        <v>43759</v>
      </c>
      <c r="C61" s="1" t="n">
        <v>45510</v>
      </c>
      <c r="D61" t="inlineStr">
        <is>
          <t>STOCKHOLMS LÄN</t>
        </is>
      </c>
      <c r="E61" t="inlineStr">
        <is>
          <t>SÖDERTÄLJE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55965-2019</t>
        </is>
      </c>
      <c r="B62" s="1" t="n">
        <v>43759</v>
      </c>
      <c r="C62" s="1" t="n">
        <v>45510</v>
      </c>
      <c r="D62" t="inlineStr">
        <is>
          <t>STOCKHOLMS LÄN</t>
        </is>
      </c>
      <c r="E62" t="inlineStr">
        <is>
          <t>SÖDERTÄLJE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55870-2019</t>
        </is>
      </c>
      <c r="B63" s="1" t="n">
        <v>43759</v>
      </c>
      <c r="C63" s="1" t="n">
        <v>45510</v>
      </c>
      <c r="D63" t="inlineStr">
        <is>
          <t>STOCKHOLMS LÄN</t>
        </is>
      </c>
      <c r="E63" t="inlineStr">
        <is>
          <t>SÖDERTÄLJE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55848-2019</t>
        </is>
      </c>
      <c r="B64" s="1" t="n">
        <v>43759</v>
      </c>
      <c r="C64" s="1" t="n">
        <v>45510</v>
      </c>
      <c r="D64" t="inlineStr">
        <is>
          <t>STOCKHOLMS LÄN</t>
        </is>
      </c>
      <c r="E64" t="inlineStr">
        <is>
          <t>SÖDERTÄLJE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55980-2019</t>
        </is>
      </c>
      <c r="B65" s="1" t="n">
        <v>43759</v>
      </c>
      <c r="C65" s="1" t="n">
        <v>45510</v>
      </c>
      <c r="D65" t="inlineStr">
        <is>
          <t>STOCKHOLMS LÄN</t>
        </is>
      </c>
      <c r="E65" t="inlineStr">
        <is>
          <t>SÖDERTÄLJE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59155-2019</t>
        </is>
      </c>
      <c r="B66" s="1" t="n">
        <v>43775</v>
      </c>
      <c r="C66" s="1" t="n">
        <v>45510</v>
      </c>
      <c r="D66" t="inlineStr">
        <is>
          <t>STOCKHOLMS LÄN</t>
        </is>
      </c>
      <c r="E66" t="inlineStr">
        <is>
          <t>SÖDERTÄLJE</t>
        </is>
      </c>
      <c r="F66" t="inlineStr">
        <is>
          <t>Kommuner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59790-2019</t>
        </is>
      </c>
      <c r="B67" s="1" t="n">
        <v>43776</v>
      </c>
      <c r="C67" s="1" t="n">
        <v>45510</v>
      </c>
      <c r="D67" t="inlineStr">
        <is>
          <t>STOCKHOLMS LÄN</t>
        </is>
      </c>
      <c r="E67" t="inlineStr">
        <is>
          <t>SÖDERTÄLJE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64995-2019</t>
        </is>
      </c>
      <c r="B68" s="1" t="n">
        <v>43801</v>
      </c>
      <c r="C68" s="1" t="n">
        <v>45510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64938-2019</t>
        </is>
      </c>
      <c r="B69" s="1" t="n">
        <v>43801</v>
      </c>
      <c r="C69" s="1" t="n">
        <v>45510</v>
      </c>
      <c r="D69" t="inlineStr">
        <is>
          <t>STOCKHOLMS LÄN</t>
        </is>
      </c>
      <c r="E69" t="inlineStr">
        <is>
          <t>SÖDERTÄLJE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630-2020</t>
        </is>
      </c>
      <c r="B70" s="1" t="n">
        <v>43838</v>
      </c>
      <c r="C70" s="1" t="n">
        <v>45510</v>
      </c>
      <c r="D70" t="inlineStr">
        <is>
          <t>STOCKHOLMS LÄN</t>
        </is>
      </c>
      <c r="E70" t="inlineStr">
        <is>
          <t>SÖDERTÄLJE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2559-2020</t>
        </is>
      </c>
      <c r="B71" s="1" t="n">
        <v>43843</v>
      </c>
      <c r="C71" s="1" t="n">
        <v>45510</v>
      </c>
      <c r="D71" t="inlineStr">
        <is>
          <t>STOCKHOLMS LÄN</t>
        </is>
      </c>
      <c r="E71" t="inlineStr">
        <is>
          <t>SÖDERTÄLJE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1811-2020</t>
        </is>
      </c>
      <c r="B72" s="1" t="n">
        <v>43844</v>
      </c>
      <c r="C72" s="1" t="n">
        <v>45510</v>
      </c>
      <c r="D72" t="inlineStr">
        <is>
          <t>STOCKHOLMS LÄN</t>
        </is>
      </c>
      <c r="E72" t="inlineStr">
        <is>
          <t>SÖDERTÄLJE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6707-2020</t>
        </is>
      </c>
      <c r="B73" s="1" t="n">
        <v>43867</v>
      </c>
      <c r="C73" s="1" t="n">
        <v>45510</v>
      </c>
      <c r="D73" t="inlineStr">
        <is>
          <t>STOCKHOLMS LÄN</t>
        </is>
      </c>
      <c r="E73" t="inlineStr">
        <is>
          <t>SÖDERTÄLJE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8366-2020</t>
        </is>
      </c>
      <c r="B74" s="1" t="n">
        <v>43875</v>
      </c>
      <c r="C74" s="1" t="n">
        <v>45510</v>
      </c>
      <c r="D74" t="inlineStr">
        <is>
          <t>STOCKHOLMS LÄN</t>
        </is>
      </c>
      <c r="E74" t="inlineStr">
        <is>
          <t>SÖDERTÄLJE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10551-2020</t>
        </is>
      </c>
      <c r="B75" s="1" t="n">
        <v>43887</v>
      </c>
      <c r="C75" s="1" t="n">
        <v>45510</v>
      </c>
      <c r="D75" t="inlineStr">
        <is>
          <t>STOCKHOLMS LÄN</t>
        </is>
      </c>
      <c r="E75" t="inlineStr">
        <is>
          <t>SÖDERTÄLJE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20196-2020</t>
        </is>
      </c>
      <c r="B76" s="1" t="n">
        <v>43944</v>
      </c>
      <c r="C76" s="1" t="n">
        <v>45510</v>
      </c>
      <c r="D76" t="inlineStr">
        <is>
          <t>STOCKHOLMS LÄN</t>
        </is>
      </c>
      <c r="E76" t="inlineStr">
        <is>
          <t>SÖDERTÄLJE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27278-2020</t>
        </is>
      </c>
      <c r="B77" s="1" t="n">
        <v>43992</v>
      </c>
      <c r="C77" s="1" t="n">
        <v>45510</v>
      </c>
      <c r="D77" t="inlineStr">
        <is>
          <t>STOCKHOLMS LÄN</t>
        </is>
      </c>
      <c r="E77" t="inlineStr">
        <is>
          <t>SÖDERTÄLJE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38010-2020</t>
        </is>
      </c>
      <c r="B78" s="1" t="n">
        <v>44057</v>
      </c>
      <c r="C78" s="1" t="n">
        <v>45510</v>
      </c>
      <c r="D78" t="inlineStr">
        <is>
          <t>STOCKHOLMS LÄN</t>
        </is>
      </c>
      <c r="E78" t="inlineStr">
        <is>
          <t>SÖDERTÄLJE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41080-2020</t>
        </is>
      </c>
      <c r="B79" s="1" t="n">
        <v>44069</v>
      </c>
      <c r="C79" s="1" t="n">
        <v>45510</v>
      </c>
      <c r="D79" t="inlineStr">
        <is>
          <t>STOCKHOLMS LÄN</t>
        </is>
      </c>
      <c r="E79" t="inlineStr">
        <is>
          <t>SÖDERTÄLJE</t>
        </is>
      </c>
      <c r="G79" t="n">
        <v>19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43237-2020</t>
        </is>
      </c>
      <c r="B80" s="1" t="n">
        <v>44076</v>
      </c>
      <c r="C80" s="1" t="n">
        <v>45510</v>
      </c>
      <c r="D80" t="inlineStr">
        <is>
          <t>STOCKHOLMS LÄN</t>
        </is>
      </c>
      <c r="E80" t="inlineStr">
        <is>
          <t>SÖDERTÄLJE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44577-2020</t>
        </is>
      </c>
      <c r="B81" s="1" t="n">
        <v>44085</v>
      </c>
      <c r="C81" s="1" t="n">
        <v>45510</v>
      </c>
      <c r="D81" t="inlineStr">
        <is>
          <t>STOCKHOLMS LÄN</t>
        </is>
      </c>
      <c r="E81" t="inlineStr">
        <is>
          <t>SÖDERTÄLJE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46661-2020</t>
        </is>
      </c>
      <c r="B82" s="1" t="n">
        <v>44095</v>
      </c>
      <c r="C82" s="1" t="n">
        <v>45510</v>
      </c>
      <c r="D82" t="inlineStr">
        <is>
          <t>STOCKHOLMS LÄN</t>
        </is>
      </c>
      <c r="E82" t="inlineStr">
        <is>
          <t>SÖDERTÄLJE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46899-2020</t>
        </is>
      </c>
      <c r="B83" s="1" t="n">
        <v>44096</v>
      </c>
      <c r="C83" s="1" t="n">
        <v>45510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49938-2020</t>
        </is>
      </c>
      <c r="B84" s="1" t="n">
        <v>44109</v>
      </c>
      <c r="C84" s="1" t="n">
        <v>45510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50529-2020</t>
        </is>
      </c>
      <c r="B85" s="1" t="n">
        <v>44110</v>
      </c>
      <c r="C85" s="1" t="n">
        <v>45510</v>
      </c>
      <c r="D85" t="inlineStr">
        <is>
          <t>STOCKHOLMS LÄN</t>
        </is>
      </c>
      <c r="E85" t="inlineStr">
        <is>
          <t>SÖDERTÄLJE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50524-2020</t>
        </is>
      </c>
      <c r="B86" s="1" t="n">
        <v>44110</v>
      </c>
      <c r="C86" s="1" t="n">
        <v>45510</v>
      </c>
      <c r="D86" t="inlineStr">
        <is>
          <t>STOCKHOLMS LÄN</t>
        </is>
      </c>
      <c r="E86" t="inlineStr">
        <is>
          <t>SÖDERTÄLJE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50520-2020</t>
        </is>
      </c>
      <c r="B87" s="1" t="n">
        <v>44110</v>
      </c>
      <c r="C87" s="1" t="n">
        <v>45510</v>
      </c>
      <c r="D87" t="inlineStr">
        <is>
          <t>STOCKHOLMS LÄN</t>
        </is>
      </c>
      <c r="E87" t="inlineStr">
        <is>
          <t>SÖDERTÄLJE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50527-2020</t>
        </is>
      </c>
      <c r="B88" s="1" t="n">
        <v>44110</v>
      </c>
      <c r="C88" s="1" t="n">
        <v>45510</v>
      </c>
      <c r="D88" t="inlineStr">
        <is>
          <t>STOCKHOLMS LÄN</t>
        </is>
      </c>
      <c r="E88" t="inlineStr">
        <is>
          <t>SÖDERTÄLJE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50523-2020</t>
        </is>
      </c>
      <c r="B89" s="1" t="n">
        <v>44110</v>
      </c>
      <c r="C89" s="1" t="n">
        <v>45510</v>
      </c>
      <c r="D89" t="inlineStr">
        <is>
          <t>STOCKHOLMS LÄN</t>
        </is>
      </c>
      <c r="E89" t="inlineStr">
        <is>
          <t>SÖDERTÄLJE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51203-2020</t>
        </is>
      </c>
      <c r="B90" s="1" t="n">
        <v>44112</v>
      </c>
      <c r="C90" s="1" t="n">
        <v>45510</v>
      </c>
      <c r="D90" t="inlineStr">
        <is>
          <t>STOCKHOLMS LÄN</t>
        </is>
      </c>
      <c r="E90" t="inlineStr">
        <is>
          <t>SÖDERTÄLJE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53750-2020</t>
        </is>
      </c>
      <c r="B91" s="1" t="n">
        <v>44124</v>
      </c>
      <c r="C91" s="1" t="n">
        <v>45510</v>
      </c>
      <c r="D91" t="inlineStr">
        <is>
          <t>STOCKHOLMS LÄN</t>
        </is>
      </c>
      <c r="E91" t="inlineStr">
        <is>
          <t>SÖDERTÄLJE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55466-2020</t>
        </is>
      </c>
      <c r="B92" s="1" t="n">
        <v>44130</v>
      </c>
      <c r="C92" s="1" t="n">
        <v>45510</v>
      </c>
      <c r="D92" t="inlineStr">
        <is>
          <t>STOCKHOLMS LÄN</t>
        </is>
      </c>
      <c r="E92" t="inlineStr">
        <is>
          <t>SÖDERTÄLJE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55464-2020</t>
        </is>
      </c>
      <c r="B93" s="1" t="n">
        <v>44130</v>
      </c>
      <c r="C93" s="1" t="n">
        <v>45510</v>
      </c>
      <c r="D93" t="inlineStr">
        <is>
          <t>STOCKHOLMS LÄN</t>
        </is>
      </c>
      <c r="E93" t="inlineStr">
        <is>
          <t>SÖDERTÄLJE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57992-2020</t>
        </is>
      </c>
      <c r="B94" s="1" t="n">
        <v>44143</v>
      </c>
      <c r="C94" s="1" t="n">
        <v>45510</v>
      </c>
      <c r="D94" t="inlineStr">
        <is>
          <t>STOCKHOLMS LÄN</t>
        </is>
      </c>
      <c r="E94" t="inlineStr">
        <is>
          <t>SÖDERTÄLJE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68721-2020</t>
        </is>
      </c>
      <c r="B95" s="1" t="n">
        <v>44187</v>
      </c>
      <c r="C95" s="1" t="n">
        <v>45510</v>
      </c>
      <c r="D95" t="inlineStr">
        <is>
          <t>STOCKHOLMS LÄN</t>
        </is>
      </c>
      <c r="E95" t="inlineStr">
        <is>
          <t>SÖDERTÄLJE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9986-2021</t>
        </is>
      </c>
      <c r="B96" s="1" t="n">
        <v>44254</v>
      </c>
      <c r="C96" s="1" t="n">
        <v>45510</v>
      </c>
      <c r="D96" t="inlineStr">
        <is>
          <t>STOCKHOLMS LÄN</t>
        </is>
      </c>
      <c r="E96" t="inlineStr">
        <is>
          <t>SÖDERTÄLJE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11126-2021</t>
        </is>
      </c>
      <c r="B97" s="1" t="n">
        <v>44260</v>
      </c>
      <c r="C97" s="1" t="n">
        <v>45510</v>
      </c>
      <c r="D97" t="inlineStr">
        <is>
          <t>STOCKHOLMS LÄN</t>
        </is>
      </c>
      <c r="E97" t="inlineStr">
        <is>
          <t>SÖDERTÄLJE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11361-2021</t>
        </is>
      </c>
      <c r="B98" s="1" t="n">
        <v>44263</v>
      </c>
      <c r="C98" s="1" t="n">
        <v>45510</v>
      </c>
      <c r="D98" t="inlineStr">
        <is>
          <t>STOCKHOLMS LÄN</t>
        </is>
      </c>
      <c r="E98" t="inlineStr">
        <is>
          <t>SÖDERTÄLJE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11360-2021</t>
        </is>
      </c>
      <c r="B99" s="1" t="n">
        <v>44263</v>
      </c>
      <c r="C99" s="1" t="n">
        <v>45510</v>
      </c>
      <c r="D99" t="inlineStr">
        <is>
          <t>STOCKHOLMS LÄN</t>
        </is>
      </c>
      <c r="E99" t="inlineStr">
        <is>
          <t>SÖDERTÄLJE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11368-2021</t>
        </is>
      </c>
      <c r="B100" s="1" t="n">
        <v>44263</v>
      </c>
      <c r="C100" s="1" t="n">
        <v>45510</v>
      </c>
      <c r="D100" t="inlineStr">
        <is>
          <t>STOCKHOLMS LÄN</t>
        </is>
      </c>
      <c r="E100" t="inlineStr">
        <is>
          <t>SÖDERTÄLJE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12126-2021</t>
        </is>
      </c>
      <c r="B101" s="1" t="n">
        <v>44266</v>
      </c>
      <c r="C101" s="1" t="n">
        <v>45510</v>
      </c>
      <c r="D101" t="inlineStr">
        <is>
          <t>STOCKHOLMS LÄN</t>
        </is>
      </c>
      <c r="E101" t="inlineStr">
        <is>
          <t>SÖDERTÄLJE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12901-2021</t>
        </is>
      </c>
      <c r="B102" s="1" t="n">
        <v>44271</v>
      </c>
      <c r="C102" s="1" t="n">
        <v>45510</v>
      </c>
      <c r="D102" t="inlineStr">
        <is>
          <t>STOCKHOLMS LÄN</t>
        </is>
      </c>
      <c r="E102" t="inlineStr">
        <is>
          <t>SÖDERTÄLJE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14664-2021</t>
        </is>
      </c>
      <c r="B103" s="1" t="n">
        <v>44280</v>
      </c>
      <c r="C103" s="1" t="n">
        <v>45510</v>
      </c>
      <c r="D103" t="inlineStr">
        <is>
          <t>STOCKHOLMS LÄN</t>
        </is>
      </c>
      <c r="E103" t="inlineStr">
        <is>
          <t>SÖDERTÄLJE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14635-2021</t>
        </is>
      </c>
      <c r="B104" s="1" t="n">
        <v>44280</v>
      </c>
      <c r="C104" s="1" t="n">
        <v>45510</v>
      </c>
      <c r="D104" t="inlineStr">
        <is>
          <t>STOCKHOLMS LÄN</t>
        </is>
      </c>
      <c r="E104" t="inlineStr">
        <is>
          <t>SÖDERTÄLJE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25871-2021</t>
        </is>
      </c>
      <c r="B105" s="1" t="n">
        <v>44344</v>
      </c>
      <c r="C105" s="1" t="n">
        <v>45510</v>
      </c>
      <c r="D105" t="inlineStr">
        <is>
          <t>STOCKHOLMS LÄN</t>
        </is>
      </c>
      <c r="E105" t="inlineStr">
        <is>
          <t>SÖDERTÄLJE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25873-2021</t>
        </is>
      </c>
      <c r="B106" s="1" t="n">
        <v>44344</v>
      </c>
      <c r="C106" s="1" t="n">
        <v>45510</v>
      </c>
      <c r="D106" t="inlineStr">
        <is>
          <t>STOCKHOLMS LÄN</t>
        </is>
      </c>
      <c r="E106" t="inlineStr">
        <is>
          <t>SÖDERTÄLJE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27706-2021</t>
        </is>
      </c>
      <c r="B107" s="1" t="n">
        <v>44354</v>
      </c>
      <c r="C107" s="1" t="n">
        <v>45510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Sveaskog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27715-2021</t>
        </is>
      </c>
      <c r="B108" s="1" t="n">
        <v>44354</v>
      </c>
      <c r="C108" s="1" t="n">
        <v>45510</v>
      </c>
      <c r="D108" t="inlineStr">
        <is>
          <t>STOCKHOLMS LÄN</t>
        </is>
      </c>
      <c r="E108" t="inlineStr">
        <is>
          <t>SÖDERTÄLJE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27747-2021</t>
        </is>
      </c>
      <c r="B109" s="1" t="n">
        <v>44354</v>
      </c>
      <c r="C109" s="1" t="n">
        <v>45510</v>
      </c>
      <c r="D109" t="inlineStr">
        <is>
          <t>STOCKHOLMS LÄN</t>
        </is>
      </c>
      <c r="E109" t="inlineStr">
        <is>
          <t>SÖDERTÄLJE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27739-2021</t>
        </is>
      </c>
      <c r="B110" s="1" t="n">
        <v>44354</v>
      </c>
      <c r="C110" s="1" t="n">
        <v>45510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27750-2021</t>
        </is>
      </c>
      <c r="B111" s="1" t="n">
        <v>44354</v>
      </c>
      <c r="C111" s="1" t="n">
        <v>45510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27769-2021</t>
        </is>
      </c>
      <c r="B112" s="1" t="n">
        <v>44354</v>
      </c>
      <c r="C112" s="1" t="n">
        <v>45510</v>
      </c>
      <c r="D112" t="inlineStr">
        <is>
          <t>STOCKHOLMS LÄN</t>
        </is>
      </c>
      <c r="E112" t="inlineStr">
        <is>
          <t>SÖDERTÄLJE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27740-2021</t>
        </is>
      </c>
      <c r="B113" s="1" t="n">
        <v>44354</v>
      </c>
      <c r="C113" s="1" t="n">
        <v>45510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27753-2021</t>
        </is>
      </c>
      <c r="B114" s="1" t="n">
        <v>44354</v>
      </c>
      <c r="C114" s="1" t="n">
        <v>45510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27771-2021</t>
        </is>
      </c>
      <c r="B115" s="1" t="n">
        <v>44354</v>
      </c>
      <c r="C115" s="1" t="n">
        <v>45510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28136-2021</t>
        </is>
      </c>
      <c r="B116" s="1" t="n">
        <v>44355</v>
      </c>
      <c r="C116" s="1" t="n">
        <v>45510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34449-2021</t>
        </is>
      </c>
      <c r="B117" s="1" t="n">
        <v>44381</v>
      </c>
      <c r="C117" s="1" t="n">
        <v>45510</v>
      </c>
      <c r="D117" t="inlineStr">
        <is>
          <t>STOCKHOLMS LÄN</t>
        </is>
      </c>
      <c r="E117" t="inlineStr">
        <is>
          <t>SÖDERTÄLJE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34450-2021</t>
        </is>
      </c>
      <c r="B118" s="1" t="n">
        <v>44381</v>
      </c>
      <c r="C118" s="1" t="n">
        <v>45510</v>
      </c>
      <c r="D118" t="inlineStr">
        <is>
          <t>STOCKHOLMS LÄN</t>
        </is>
      </c>
      <c r="E118" t="inlineStr">
        <is>
          <t>SÖDERTÄLJE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37676-2021</t>
        </is>
      </c>
      <c r="B119" s="1" t="n">
        <v>44400</v>
      </c>
      <c r="C119" s="1" t="n">
        <v>45510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37681-2021</t>
        </is>
      </c>
      <c r="B120" s="1" t="n">
        <v>44400</v>
      </c>
      <c r="C120" s="1" t="n">
        <v>45510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39133-2021</t>
        </is>
      </c>
      <c r="B121" s="1" t="n">
        <v>44412</v>
      </c>
      <c r="C121" s="1" t="n">
        <v>45510</v>
      </c>
      <c r="D121" t="inlineStr">
        <is>
          <t>STOCKHOLMS LÄN</t>
        </is>
      </c>
      <c r="E121" t="inlineStr">
        <is>
          <t>SÖDERTÄLJE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40751-2021</t>
        </is>
      </c>
      <c r="B122" s="1" t="n">
        <v>44420</v>
      </c>
      <c r="C122" s="1" t="n">
        <v>45510</v>
      </c>
      <c r="D122" t="inlineStr">
        <is>
          <t>STOCKHOLMS LÄN</t>
        </is>
      </c>
      <c r="E122" t="inlineStr">
        <is>
          <t>SÖDERTÄLJE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44650-2021</t>
        </is>
      </c>
      <c r="B123" s="1" t="n">
        <v>44437</v>
      </c>
      <c r="C123" s="1" t="n">
        <v>45510</v>
      </c>
      <c r="D123" t="inlineStr">
        <is>
          <t>STOCKHOLMS LÄN</t>
        </is>
      </c>
      <c r="E123" t="inlineStr">
        <is>
          <t>SÖDERTÄLJE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45674-2021</t>
        </is>
      </c>
      <c r="B124" s="1" t="n">
        <v>44441</v>
      </c>
      <c r="C124" s="1" t="n">
        <v>45510</v>
      </c>
      <c r="D124" t="inlineStr">
        <is>
          <t>STOCKHOLMS LÄN</t>
        </is>
      </c>
      <c r="E124" t="inlineStr">
        <is>
          <t>SÖDERTÄLJE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46688-2021</t>
        </is>
      </c>
      <c r="B125" s="1" t="n">
        <v>44445</v>
      </c>
      <c r="C125" s="1" t="n">
        <v>45510</v>
      </c>
      <c r="D125" t="inlineStr">
        <is>
          <t>STOCKHOLMS LÄN</t>
        </is>
      </c>
      <c r="E125" t="inlineStr">
        <is>
          <t>SÖDERTÄLJE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46671-2021</t>
        </is>
      </c>
      <c r="B126" s="1" t="n">
        <v>44445</v>
      </c>
      <c r="C126" s="1" t="n">
        <v>45510</v>
      </c>
      <c r="D126" t="inlineStr">
        <is>
          <t>STOCKHOLMS LÄN</t>
        </is>
      </c>
      <c r="E126" t="inlineStr">
        <is>
          <t>SÖDERTÄLJE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48387-2021</t>
        </is>
      </c>
      <c r="B127" s="1" t="n">
        <v>44451</v>
      </c>
      <c r="C127" s="1" t="n">
        <v>45510</v>
      </c>
      <c r="D127" t="inlineStr">
        <is>
          <t>STOCKHOLMS LÄN</t>
        </is>
      </c>
      <c r="E127" t="inlineStr">
        <is>
          <t>SÖDERTÄLJE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49136-2021</t>
        </is>
      </c>
      <c r="B128" s="1" t="n">
        <v>44454</v>
      </c>
      <c r="C128" s="1" t="n">
        <v>45510</v>
      </c>
      <c r="D128" t="inlineStr">
        <is>
          <t>STOCKHOLMS LÄN</t>
        </is>
      </c>
      <c r="E128" t="inlineStr">
        <is>
          <t>SÖDERTÄLJE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50059-2021</t>
        </is>
      </c>
      <c r="B129" s="1" t="n">
        <v>44455</v>
      </c>
      <c r="C129" s="1" t="n">
        <v>45510</v>
      </c>
      <c r="D129" t="inlineStr">
        <is>
          <t>STOCKHOLMS LÄN</t>
        </is>
      </c>
      <c r="E129" t="inlineStr">
        <is>
          <t>SÖDERTÄLJE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50117-2021</t>
        </is>
      </c>
      <c r="B130" s="1" t="n">
        <v>44456</v>
      </c>
      <c r="C130" s="1" t="n">
        <v>45510</v>
      </c>
      <c r="D130" t="inlineStr">
        <is>
          <t>STOCKHOLMS LÄN</t>
        </is>
      </c>
      <c r="E130" t="inlineStr">
        <is>
          <t>SÖDERTÄLJE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51482-2021</t>
        </is>
      </c>
      <c r="B131" s="1" t="n">
        <v>44460</v>
      </c>
      <c r="C131" s="1" t="n">
        <v>45510</v>
      </c>
      <c r="D131" t="inlineStr">
        <is>
          <t>STOCKHOLMS LÄN</t>
        </is>
      </c>
      <c r="E131" t="inlineStr">
        <is>
          <t>SÖDERTÄLJE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51454-2021</t>
        </is>
      </c>
      <c r="B132" s="1" t="n">
        <v>44460</v>
      </c>
      <c r="C132" s="1" t="n">
        <v>45510</v>
      </c>
      <c r="D132" t="inlineStr">
        <is>
          <t>STOCKHOLMS LÄN</t>
        </is>
      </c>
      <c r="E132" t="inlineStr">
        <is>
          <t>SÖDERTÄLJE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52214-2021</t>
        </is>
      </c>
      <c r="B133" s="1" t="n">
        <v>44462</v>
      </c>
      <c r="C133" s="1" t="n">
        <v>45510</v>
      </c>
      <c r="D133" t="inlineStr">
        <is>
          <t>STOCKHOLMS LÄN</t>
        </is>
      </c>
      <c r="E133" t="inlineStr">
        <is>
          <t>SÖDERTÄLJE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53042-2021</t>
        </is>
      </c>
      <c r="B134" s="1" t="n">
        <v>44467</v>
      </c>
      <c r="C134" s="1" t="n">
        <v>45510</v>
      </c>
      <c r="D134" t="inlineStr">
        <is>
          <t>STOCKHOLMS LÄN</t>
        </is>
      </c>
      <c r="E134" t="inlineStr">
        <is>
          <t>SÖDERTÄLJE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57039-2021</t>
        </is>
      </c>
      <c r="B135" s="1" t="n">
        <v>44482</v>
      </c>
      <c r="C135" s="1" t="n">
        <v>45510</v>
      </c>
      <c r="D135" t="inlineStr">
        <is>
          <t>STOCKHOLMS LÄN</t>
        </is>
      </c>
      <c r="E135" t="inlineStr">
        <is>
          <t>SÖDERTÄLJE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57884-2021</t>
        </is>
      </c>
      <c r="B136" s="1" t="n">
        <v>44485</v>
      </c>
      <c r="C136" s="1" t="n">
        <v>45510</v>
      </c>
      <c r="D136" t="inlineStr">
        <is>
          <t>STOCKHOLMS LÄN</t>
        </is>
      </c>
      <c r="E136" t="inlineStr">
        <is>
          <t>SÖDERTÄLJE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59235-2021</t>
        </is>
      </c>
      <c r="B137" s="1" t="n">
        <v>44490</v>
      </c>
      <c r="C137" s="1" t="n">
        <v>45510</v>
      </c>
      <c r="D137" t="inlineStr">
        <is>
          <t>STOCKHOLMS LÄN</t>
        </is>
      </c>
      <c r="E137" t="inlineStr">
        <is>
          <t>SÖDERTÄLJE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63644-2021</t>
        </is>
      </c>
      <c r="B138" s="1" t="n">
        <v>44508</v>
      </c>
      <c r="C138" s="1" t="n">
        <v>45510</v>
      </c>
      <c r="D138" t="inlineStr">
        <is>
          <t>STOCKHOLMS LÄN</t>
        </is>
      </c>
      <c r="E138" t="inlineStr">
        <is>
          <t>SÖDERTÄLJE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64111-2021</t>
        </is>
      </c>
      <c r="B139" s="1" t="n">
        <v>44509</v>
      </c>
      <c r="C139" s="1" t="n">
        <v>45510</v>
      </c>
      <c r="D139" t="inlineStr">
        <is>
          <t>STOCKHOLMS LÄN</t>
        </is>
      </c>
      <c r="E139" t="inlineStr">
        <is>
          <t>SÖDERTÄLJE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70201-2021</t>
        </is>
      </c>
      <c r="B140" s="1" t="n">
        <v>44534</v>
      </c>
      <c r="C140" s="1" t="n">
        <v>45510</v>
      </c>
      <c r="D140" t="inlineStr">
        <is>
          <t>STOCKHOLMS LÄN</t>
        </is>
      </c>
      <c r="E140" t="inlineStr">
        <is>
          <t>SÖDERTÄLJE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72218-2021</t>
        </is>
      </c>
      <c r="B141" s="1" t="n">
        <v>44544</v>
      </c>
      <c r="C141" s="1" t="n">
        <v>45510</v>
      </c>
      <c r="D141" t="inlineStr">
        <is>
          <t>STOCKHOLMS LÄN</t>
        </is>
      </c>
      <c r="E141" t="inlineStr">
        <is>
          <t>SÖDERTÄLJE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314-2022</t>
        </is>
      </c>
      <c r="B142" s="1" t="n">
        <v>44564</v>
      </c>
      <c r="C142" s="1" t="n">
        <v>45510</v>
      </c>
      <c r="D142" t="inlineStr">
        <is>
          <t>STOCKHOLMS LÄN</t>
        </is>
      </c>
      <c r="E142" t="inlineStr">
        <is>
          <t>SÖDERTÄLJE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386-2022</t>
        </is>
      </c>
      <c r="B143" s="1" t="n">
        <v>44565</v>
      </c>
      <c r="C143" s="1" t="n">
        <v>45510</v>
      </c>
      <c r="D143" t="inlineStr">
        <is>
          <t>STOCKHOLMS LÄN</t>
        </is>
      </c>
      <c r="E143" t="inlineStr">
        <is>
          <t>SÖDERTÄLJE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1016-2022</t>
        </is>
      </c>
      <c r="B144" s="1" t="n">
        <v>44571</v>
      </c>
      <c r="C144" s="1" t="n">
        <v>45510</v>
      </c>
      <c r="D144" t="inlineStr">
        <is>
          <t>STOCKHOLMS LÄN</t>
        </is>
      </c>
      <c r="E144" t="inlineStr">
        <is>
          <t>SÖDERTÄLJE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1939-2022</t>
        </is>
      </c>
      <c r="B145" s="1" t="n">
        <v>44575</v>
      </c>
      <c r="C145" s="1" t="n">
        <v>45510</v>
      </c>
      <c r="D145" t="inlineStr">
        <is>
          <t>STOCKHOLMS LÄN</t>
        </is>
      </c>
      <c r="E145" t="inlineStr">
        <is>
          <t>SÖDERTÄLJE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2849-2022</t>
        </is>
      </c>
      <c r="B146" s="1" t="n">
        <v>44581</v>
      </c>
      <c r="C146" s="1" t="n">
        <v>45510</v>
      </c>
      <c r="D146" t="inlineStr">
        <is>
          <t>STOCKHOLMS LÄN</t>
        </is>
      </c>
      <c r="E146" t="inlineStr">
        <is>
          <t>SÖDERTÄLJE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3596-2022</t>
        </is>
      </c>
      <c r="B147" s="1" t="n">
        <v>44586</v>
      </c>
      <c r="C147" s="1" t="n">
        <v>45510</v>
      </c>
      <c r="D147" t="inlineStr">
        <is>
          <t>STOCKHOLMS LÄN</t>
        </is>
      </c>
      <c r="E147" t="inlineStr">
        <is>
          <t>SÖDERTÄLJE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3592-2022</t>
        </is>
      </c>
      <c r="B148" s="1" t="n">
        <v>44586</v>
      </c>
      <c r="C148" s="1" t="n">
        <v>45510</v>
      </c>
      <c r="D148" t="inlineStr">
        <is>
          <t>STOCKHOLMS LÄN</t>
        </is>
      </c>
      <c r="E148" t="inlineStr">
        <is>
          <t>SÖDERTÄLJE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3585-2022</t>
        </is>
      </c>
      <c r="B149" s="1" t="n">
        <v>44586</v>
      </c>
      <c r="C149" s="1" t="n">
        <v>45510</v>
      </c>
      <c r="D149" t="inlineStr">
        <is>
          <t>STOCKHOLMS LÄN</t>
        </is>
      </c>
      <c r="E149" t="inlineStr">
        <is>
          <t>SÖDERTÄLJE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6295-2022</t>
        </is>
      </c>
      <c r="B150" s="1" t="n">
        <v>44600</v>
      </c>
      <c r="C150" s="1" t="n">
        <v>45510</v>
      </c>
      <c r="D150" t="inlineStr">
        <is>
          <t>STOCKHOLMS LÄN</t>
        </is>
      </c>
      <c r="E150" t="inlineStr">
        <is>
          <t>SÖDERTÄLJE</t>
        </is>
      </c>
      <c r="G150" t="n">
        <v>11.4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6740-2022</t>
        </is>
      </c>
      <c r="B151" s="1" t="n">
        <v>44602</v>
      </c>
      <c r="C151" s="1" t="n">
        <v>45510</v>
      </c>
      <c r="D151" t="inlineStr">
        <is>
          <t>STOCKHOLMS LÄN</t>
        </is>
      </c>
      <c r="E151" t="inlineStr">
        <is>
          <t>SÖDERTÄLJE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6886-2022</t>
        </is>
      </c>
      <c r="B152" s="1" t="n">
        <v>44602</v>
      </c>
      <c r="C152" s="1" t="n">
        <v>45510</v>
      </c>
      <c r="D152" t="inlineStr">
        <is>
          <t>STOCKHOLMS LÄN</t>
        </is>
      </c>
      <c r="E152" t="inlineStr">
        <is>
          <t>SÖDERTÄLJE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12691-2022</t>
        </is>
      </c>
      <c r="B153" s="1" t="n">
        <v>44641</v>
      </c>
      <c r="C153" s="1" t="n">
        <v>45510</v>
      </c>
      <c r="D153" t="inlineStr">
        <is>
          <t>STOCKHOLMS LÄN</t>
        </is>
      </c>
      <c r="E153" t="inlineStr">
        <is>
          <t>SÖDERTÄLJE</t>
        </is>
      </c>
      <c r="F153" t="inlineStr">
        <is>
          <t>Övriga Aktiebolag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16437-2022</t>
        </is>
      </c>
      <c r="B154" s="1" t="n">
        <v>44671</v>
      </c>
      <c r="C154" s="1" t="n">
        <v>45510</v>
      </c>
      <c r="D154" t="inlineStr">
        <is>
          <t>STOCKHOLMS LÄN</t>
        </is>
      </c>
      <c r="E154" t="inlineStr">
        <is>
          <t>SÖDERTÄLJE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16433-2022</t>
        </is>
      </c>
      <c r="B155" s="1" t="n">
        <v>44671</v>
      </c>
      <c r="C155" s="1" t="n">
        <v>45510</v>
      </c>
      <c r="D155" t="inlineStr">
        <is>
          <t>STOCKHOLMS LÄN</t>
        </is>
      </c>
      <c r="E155" t="inlineStr">
        <is>
          <t>SÖDERTÄLJE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16724-2022</t>
        </is>
      </c>
      <c r="B156" s="1" t="n">
        <v>44673</v>
      </c>
      <c r="C156" s="1" t="n">
        <v>45510</v>
      </c>
      <c r="D156" t="inlineStr">
        <is>
          <t>STOCKHOLMS LÄN</t>
        </is>
      </c>
      <c r="E156" t="inlineStr">
        <is>
          <t>SÖDERTÄLJE</t>
        </is>
      </c>
      <c r="F156" t="inlineStr">
        <is>
          <t>Övriga statliga verk och myndigheter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20016-2022</t>
        </is>
      </c>
      <c r="B157" s="1" t="n">
        <v>44697</v>
      </c>
      <c r="C157" s="1" t="n">
        <v>45510</v>
      </c>
      <c r="D157" t="inlineStr">
        <is>
          <t>STOCKHOLMS LÄN</t>
        </is>
      </c>
      <c r="E157" t="inlineStr">
        <is>
          <t>SÖDERTÄLJE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20411-2022</t>
        </is>
      </c>
      <c r="B158" s="1" t="n">
        <v>44699</v>
      </c>
      <c r="C158" s="1" t="n">
        <v>45510</v>
      </c>
      <c r="D158" t="inlineStr">
        <is>
          <t>STOCKHOLMS LÄN</t>
        </is>
      </c>
      <c r="E158" t="inlineStr">
        <is>
          <t>SÖDERTÄLJE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23956-2022</t>
        </is>
      </c>
      <c r="B159" s="1" t="n">
        <v>44722</v>
      </c>
      <c r="C159" s="1" t="n">
        <v>45510</v>
      </c>
      <c r="D159" t="inlineStr">
        <is>
          <t>STOCKHOLMS LÄN</t>
        </is>
      </c>
      <c r="E159" t="inlineStr">
        <is>
          <t>SÖDERTÄLJE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24034-2022</t>
        </is>
      </c>
      <c r="B160" s="1" t="n">
        <v>44724</v>
      </c>
      <c r="C160" s="1" t="n">
        <v>45510</v>
      </c>
      <c r="D160" t="inlineStr">
        <is>
          <t>STOCKHOLMS LÄN</t>
        </is>
      </c>
      <c r="E160" t="inlineStr">
        <is>
          <t>SÖDERTÄLJE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26812-2022</t>
        </is>
      </c>
      <c r="B161" s="1" t="n">
        <v>44740</v>
      </c>
      <c r="C161" s="1" t="n">
        <v>45510</v>
      </c>
      <c r="D161" t="inlineStr">
        <is>
          <t>STOCKHOLMS LÄN</t>
        </is>
      </c>
      <c r="E161" t="inlineStr">
        <is>
          <t>SÖDERTÄLJE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27970-2022</t>
        </is>
      </c>
      <c r="B162" s="1" t="n">
        <v>44744</v>
      </c>
      <c r="C162" s="1" t="n">
        <v>45510</v>
      </c>
      <c r="D162" t="inlineStr">
        <is>
          <t>STOCKHOLMS LÄN</t>
        </is>
      </c>
      <c r="E162" t="inlineStr">
        <is>
          <t>SÖDERTÄLJE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27969-2022</t>
        </is>
      </c>
      <c r="B163" s="1" t="n">
        <v>44744</v>
      </c>
      <c r="C163" s="1" t="n">
        <v>45510</v>
      </c>
      <c r="D163" t="inlineStr">
        <is>
          <t>STOCKHOLMS LÄN</t>
        </is>
      </c>
      <c r="E163" t="inlineStr">
        <is>
          <t>SÖDERTÄLJE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27971-2022</t>
        </is>
      </c>
      <c r="B164" s="1" t="n">
        <v>44744</v>
      </c>
      <c r="C164" s="1" t="n">
        <v>45510</v>
      </c>
      <c r="D164" t="inlineStr">
        <is>
          <t>STOCKHOLMS LÄN</t>
        </is>
      </c>
      <c r="E164" t="inlineStr">
        <is>
          <t>SÖDERTÄLJE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27972-2022</t>
        </is>
      </c>
      <c r="B165" s="1" t="n">
        <v>44744</v>
      </c>
      <c r="C165" s="1" t="n">
        <v>45510</v>
      </c>
      <c r="D165" t="inlineStr">
        <is>
          <t>STOCKHOLMS LÄN</t>
        </is>
      </c>
      <c r="E165" t="inlineStr">
        <is>
          <t>SÖDERTÄLJE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31428-2022</t>
        </is>
      </c>
      <c r="B166" s="1" t="n">
        <v>44774</v>
      </c>
      <c r="C166" s="1" t="n">
        <v>45510</v>
      </c>
      <c r="D166" t="inlineStr">
        <is>
          <t>STOCKHOLMS LÄN</t>
        </is>
      </c>
      <c r="E166" t="inlineStr">
        <is>
          <t>SÖDERTÄLJE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31429-2022</t>
        </is>
      </c>
      <c r="B167" s="1" t="n">
        <v>44774</v>
      </c>
      <c r="C167" s="1" t="n">
        <v>45510</v>
      </c>
      <c r="D167" t="inlineStr">
        <is>
          <t>STOCKHOLMS LÄN</t>
        </is>
      </c>
      <c r="E167" t="inlineStr">
        <is>
          <t>SÖDERTÄLJE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33892-2022</t>
        </is>
      </c>
      <c r="B168" s="1" t="n">
        <v>44790</v>
      </c>
      <c r="C168" s="1" t="n">
        <v>45510</v>
      </c>
      <c r="D168" t="inlineStr">
        <is>
          <t>STOCKHOLMS LÄN</t>
        </is>
      </c>
      <c r="E168" t="inlineStr">
        <is>
          <t>SÖDERTÄLJE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33902-2022</t>
        </is>
      </c>
      <c r="B169" s="1" t="n">
        <v>44790</v>
      </c>
      <c r="C169" s="1" t="n">
        <v>45510</v>
      </c>
      <c r="D169" t="inlineStr">
        <is>
          <t>STOCKHOLMS LÄN</t>
        </is>
      </c>
      <c r="E169" t="inlineStr">
        <is>
          <t>SÖDERTÄLJE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35906-2022</t>
        </is>
      </c>
      <c r="B170" s="1" t="n">
        <v>44802</v>
      </c>
      <c r="C170" s="1" t="n">
        <v>45510</v>
      </c>
      <c r="D170" t="inlineStr">
        <is>
          <t>STOCKHOLMS LÄN</t>
        </is>
      </c>
      <c r="E170" t="inlineStr">
        <is>
          <t>SÖDERTÄLJE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35918-2022</t>
        </is>
      </c>
      <c r="B171" s="1" t="n">
        <v>44802</v>
      </c>
      <c r="C171" s="1" t="n">
        <v>45510</v>
      </c>
      <c r="D171" t="inlineStr">
        <is>
          <t>STOCKHOLMS LÄN</t>
        </is>
      </c>
      <c r="E171" t="inlineStr">
        <is>
          <t>SÖDERTÄLJE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35882-2022</t>
        </is>
      </c>
      <c r="B172" s="1" t="n">
        <v>44802</v>
      </c>
      <c r="C172" s="1" t="n">
        <v>45510</v>
      </c>
      <c r="D172" t="inlineStr">
        <is>
          <t>STOCKHOLMS LÄN</t>
        </is>
      </c>
      <c r="E172" t="inlineStr">
        <is>
          <t>SÖDERTÄLJE</t>
        </is>
      </c>
      <c r="G172" t="n">
        <v>10.8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35942-2022</t>
        </is>
      </c>
      <c r="B173" s="1" t="n">
        <v>44802</v>
      </c>
      <c r="C173" s="1" t="n">
        <v>45510</v>
      </c>
      <c r="D173" t="inlineStr">
        <is>
          <t>STOCKHOLMS LÄN</t>
        </is>
      </c>
      <c r="E173" t="inlineStr">
        <is>
          <t>SÖDERTÄLJE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36112-2022</t>
        </is>
      </c>
      <c r="B174" s="1" t="n">
        <v>44802</v>
      </c>
      <c r="C174" s="1" t="n">
        <v>45510</v>
      </c>
      <c r="D174" t="inlineStr">
        <is>
          <t>STOCKHOLMS LÄN</t>
        </is>
      </c>
      <c r="E174" t="inlineStr">
        <is>
          <t>SÖDERTÄLJE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36113-2022</t>
        </is>
      </c>
      <c r="B175" s="1" t="n">
        <v>44802</v>
      </c>
      <c r="C175" s="1" t="n">
        <v>45510</v>
      </c>
      <c r="D175" t="inlineStr">
        <is>
          <t>STOCKHOLMS LÄN</t>
        </is>
      </c>
      <c r="E175" t="inlineStr">
        <is>
          <t>SÖDERTÄLJE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37843-2022</t>
        </is>
      </c>
      <c r="B176" s="1" t="n">
        <v>44810</v>
      </c>
      <c r="C176" s="1" t="n">
        <v>45510</v>
      </c>
      <c r="D176" t="inlineStr">
        <is>
          <t>STOCKHOLMS LÄN</t>
        </is>
      </c>
      <c r="E176" t="inlineStr">
        <is>
          <t>SÖDERTÄLJE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37844-2022</t>
        </is>
      </c>
      <c r="B177" s="1" t="n">
        <v>44810</v>
      </c>
      <c r="C177" s="1" t="n">
        <v>45510</v>
      </c>
      <c r="D177" t="inlineStr">
        <is>
          <t>STOCKHOLMS LÄN</t>
        </is>
      </c>
      <c r="E177" t="inlineStr">
        <is>
          <t>SÖDERTÄLJE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37842-2022</t>
        </is>
      </c>
      <c r="B178" s="1" t="n">
        <v>44810</v>
      </c>
      <c r="C178" s="1" t="n">
        <v>45510</v>
      </c>
      <c r="D178" t="inlineStr">
        <is>
          <t>STOCKHOLMS LÄN</t>
        </is>
      </c>
      <c r="E178" t="inlineStr">
        <is>
          <t>SÖDERTÄLJE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38079-2022</t>
        </is>
      </c>
      <c r="B179" s="1" t="n">
        <v>44811</v>
      </c>
      <c r="C179" s="1" t="n">
        <v>45510</v>
      </c>
      <c r="D179" t="inlineStr">
        <is>
          <t>STOCKHOLMS LÄN</t>
        </is>
      </c>
      <c r="E179" t="inlineStr">
        <is>
          <t>SÖDERTÄLJE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38250-2022</t>
        </is>
      </c>
      <c r="B180" s="1" t="n">
        <v>44812</v>
      </c>
      <c r="C180" s="1" t="n">
        <v>45510</v>
      </c>
      <c r="D180" t="inlineStr">
        <is>
          <t>STOCKHOLMS LÄN</t>
        </is>
      </c>
      <c r="E180" t="inlineStr">
        <is>
          <t>SÖDERTÄLJE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40816-2022</t>
        </is>
      </c>
      <c r="B181" s="1" t="n">
        <v>44824</v>
      </c>
      <c r="C181" s="1" t="n">
        <v>45510</v>
      </c>
      <c r="D181" t="inlineStr">
        <is>
          <t>STOCKHOLMS LÄN</t>
        </is>
      </c>
      <c r="E181" t="inlineStr">
        <is>
          <t>SÖDERTÄLJE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40801-2022</t>
        </is>
      </c>
      <c r="B182" s="1" t="n">
        <v>44824</v>
      </c>
      <c r="C182" s="1" t="n">
        <v>45510</v>
      </c>
      <c r="D182" t="inlineStr">
        <is>
          <t>STOCKHOLMS LÄN</t>
        </is>
      </c>
      <c r="E182" t="inlineStr">
        <is>
          <t>SÖDERTÄLJE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43752-2022</t>
        </is>
      </c>
      <c r="B183" s="1" t="n">
        <v>44837</v>
      </c>
      <c r="C183" s="1" t="n">
        <v>45510</v>
      </c>
      <c r="D183" t="inlineStr">
        <is>
          <t>STOCKHOLMS LÄN</t>
        </is>
      </c>
      <c r="E183" t="inlineStr">
        <is>
          <t>SÖDERTÄLJE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44950-2022</t>
        </is>
      </c>
      <c r="B184" s="1" t="n">
        <v>44841</v>
      </c>
      <c r="C184" s="1" t="n">
        <v>45510</v>
      </c>
      <c r="D184" t="inlineStr">
        <is>
          <t>STOCKHOLMS LÄN</t>
        </is>
      </c>
      <c r="E184" t="inlineStr">
        <is>
          <t>SÖDERTÄLJE</t>
        </is>
      </c>
      <c r="F184" t="inlineStr">
        <is>
          <t>Sveaskog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44960-2022</t>
        </is>
      </c>
      <c r="B185" s="1" t="n">
        <v>44841</v>
      </c>
      <c r="C185" s="1" t="n">
        <v>45510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Sveaskog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44954-2022</t>
        </is>
      </c>
      <c r="B186" s="1" t="n">
        <v>44841</v>
      </c>
      <c r="C186" s="1" t="n">
        <v>45510</v>
      </c>
      <c r="D186" t="inlineStr">
        <is>
          <t>STOCKHOLMS LÄN</t>
        </is>
      </c>
      <c r="E186" t="inlineStr">
        <is>
          <t>SÖDERTÄLJE</t>
        </is>
      </c>
      <c r="F186" t="inlineStr">
        <is>
          <t>Sveaskog</t>
        </is>
      </c>
      <c r="G186" t="n">
        <v>22.5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44962-2022</t>
        </is>
      </c>
      <c r="B187" s="1" t="n">
        <v>44841</v>
      </c>
      <c r="C187" s="1" t="n">
        <v>45510</v>
      </c>
      <c r="D187" t="inlineStr">
        <is>
          <t>STOCKHOLMS LÄN</t>
        </is>
      </c>
      <c r="E187" t="inlineStr">
        <is>
          <t>SÖDERTÄLJE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44964-2022</t>
        </is>
      </c>
      <c r="B188" s="1" t="n">
        <v>44841</v>
      </c>
      <c r="C188" s="1" t="n">
        <v>45510</v>
      </c>
      <c r="D188" t="inlineStr">
        <is>
          <t>STOCKHOLMS LÄN</t>
        </is>
      </c>
      <c r="E188" t="inlineStr">
        <is>
          <t>SÖDERTÄLJE</t>
        </is>
      </c>
      <c r="F188" t="inlineStr">
        <is>
          <t>Sveaskog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45145-2022</t>
        </is>
      </c>
      <c r="B189" s="1" t="n">
        <v>44844</v>
      </c>
      <c r="C189" s="1" t="n">
        <v>45510</v>
      </c>
      <c r="D189" t="inlineStr">
        <is>
          <t>STOCKHOLMS LÄN</t>
        </is>
      </c>
      <c r="E189" t="inlineStr">
        <is>
          <t>SÖDERTÄLJE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45152-2022</t>
        </is>
      </c>
      <c r="B190" s="1" t="n">
        <v>44844</v>
      </c>
      <c r="C190" s="1" t="n">
        <v>45510</v>
      </c>
      <c r="D190" t="inlineStr">
        <is>
          <t>STOCKHOLMS LÄN</t>
        </is>
      </c>
      <c r="E190" t="inlineStr">
        <is>
          <t>SÖDERTÄLJE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45184-2022</t>
        </is>
      </c>
      <c r="B191" s="1" t="n">
        <v>44844</v>
      </c>
      <c r="C191" s="1" t="n">
        <v>45510</v>
      </c>
      <c r="D191" t="inlineStr">
        <is>
          <t>STOCKHOLMS LÄN</t>
        </is>
      </c>
      <c r="E191" t="inlineStr">
        <is>
          <t>SÖDERTÄLJE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47977-2022</t>
        </is>
      </c>
      <c r="B192" s="1" t="n">
        <v>44855</v>
      </c>
      <c r="C192" s="1" t="n">
        <v>45510</v>
      </c>
      <c r="D192" t="inlineStr">
        <is>
          <t>STOCKHOLMS LÄN</t>
        </is>
      </c>
      <c r="E192" t="inlineStr">
        <is>
          <t>SÖDERTÄLJE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47943-2022</t>
        </is>
      </c>
      <c r="B193" s="1" t="n">
        <v>44855</v>
      </c>
      <c r="C193" s="1" t="n">
        <v>45510</v>
      </c>
      <c r="D193" t="inlineStr">
        <is>
          <t>STOCKHOLMS LÄN</t>
        </is>
      </c>
      <c r="E193" t="inlineStr">
        <is>
          <t>SÖDERTÄLJE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48813-2022</t>
        </is>
      </c>
      <c r="B194" s="1" t="n">
        <v>44859</v>
      </c>
      <c r="C194" s="1" t="n">
        <v>45510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48812-2022</t>
        </is>
      </c>
      <c r="B195" s="1" t="n">
        <v>44859</v>
      </c>
      <c r="C195" s="1" t="n">
        <v>45510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48820-2022</t>
        </is>
      </c>
      <c r="B196" s="1" t="n">
        <v>44859</v>
      </c>
      <c r="C196" s="1" t="n">
        <v>45510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49956-2022</t>
        </is>
      </c>
      <c r="B197" s="1" t="n">
        <v>44865</v>
      </c>
      <c r="C197" s="1" t="n">
        <v>45510</v>
      </c>
      <c r="D197" t="inlineStr">
        <is>
          <t>STOCKHOLMS LÄN</t>
        </is>
      </c>
      <c r="E197" t="inlineStr">
        <is>
          <t>SÖDERTÄLJE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52101-2022</t>
        </is>
      </c>
      <c r="B198" s="1" t="n">
        <v>44873</v>
      </c>
      <c r="C198" s="1" t="n">
        <v>45510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Kommuner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52541-2022</t>
        </is>
      </c>
      <c r="B199" s="1" t="n">
        <v>44874</v>
      </c>
      <c r="C199" s="1" t="n">
        <v>45510</v>
      </c>
      <c r="D199" t="inlineStr">
        <is>
          <t>STOCKHOLMS LÄN</t>
        </is>
      </c>
      <c r="E199" t="inlineStr">
        <is>
          <t>SÖDERTÄLJE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55973-2022</t>
        </is>
      </c>
      <c r="B200" s="1" t="n">
        <v>44889</v>
      </c>
      <c r="C200" s="1" t="n">
        <v>45510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58418-2022</t>
        </is>
      </c>
      <c r="B201" s="1" t="n">
        <v>44901</v>
      </c>
      <c r="C201" s="1" t="n">
        <v>45510</v>
      </c>
      <c r="D201" t="inlineStr">
        <is>
          <t>STOCKHOLMS LÄN</t>
        </is>
      </c>
      <c r="E201" t="inlineStr">
        <is>
          <t>SÖDERTÄLJE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58928-2022</t>
        </is>
      </c>
      <c r="B202" s="1" t="n">
        <v>44903</v>
      </c>
      <c r="C202" s="1" t="n">
        <v>45510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Kommuner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952-2023</t>
        </is>
      </c>
      <c r="B203" s="1" t="n">
        <v>44934</v>
      </c>
      <c r="C203" s="1" t="n">
        <v>45510</v>
      </c>
      <c r="D203" t="inlineStr">
        <is>
          <t>STOCKHOLMS LÄN</t>
        </is>
      </c>
      <c r="E203" t="inlineStr">
        <is>
          <t>SÖDERTÄLJE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954-2023</t>
        </is>
      </c>
      <c r="B204" s="1" t="n">
        <v>44934</v>
      </c>
      <c r="C204" s="1" t="n">
        <v>45510</v>
      </c>
      <c r="D204" t="inlineStr">
        <is>
          <t>STOCKHOLMS LÄN</t>
        </is>
      </c>
      <c r="E204" t="inlineStr">
        <is>
          <t>SÖDERTÄLJE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953-2023</t>
        </is>
      </c>
      <c r="B205" s="1" t="n">
        <v>44934</v>
      </c>
      <c r="C205" s="1" t="n">
        <v>45510</v>
      </c>
      <c r="D205" t="inlineStr">
        <is>
          <t>STOCKHOLMS LÄN</t>
        </is>
      </c>
      <c r="E205" t="inlineStr">
        <is>
          <t>SÖDERTÄLJE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1381-2023</t>
        </is>
      </c>
      <c r="B206" s="1" t="n">
        <v>44936</v>
      </c>
      <c r="C206" s="1" t="n">
        <v>45510</v>
      </c>
      <c r="D206" t="inlineStr">
        <is>
          <t>STOCKHOLMS LÄN</t>
        </is>
      </c>
      <c r="E206" t="inlineStr">
        <is>
          <t>SÖDERTÄLJE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2529-2023</t>
        </is>
      </c>
      <c r="B207" s="1" t="n">
        <v>44943</v>
      </c>
      <c r="C207" s="1" t="n">
        <v>45510</v>
      </c>
      <c r="D207" t="inlineStr">
        <is>
          <t>STOCKHOLMS LÄN</t>
        </is>
      </c>
      <c r="E207" t="inlineStr">
        <is>
          <t>SÖDERTÄLJE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3639-2023</t>
        </is>
      </c>
      <c r="B208" s="1" t="n">
        <v>44950</v>
      </c>
      <c r="C208" s="1" t="n">
        <v>45510</v>
      </c>
      <c r="D208" t="inlineStr">
        <is>
          <t>STOCKHOLMS LÄN</t>
        </is>
      </c>
      <c r="E208" t="inlineStr">
        <is>
          <t>SÖDERTÄLJE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3834-2023</t>
        </is>
      </c>
      <c r="B209" s="1" t="n">
        <v>44951</v>
      </c>
      <c r="C209" s="1" t="n">
        <v>45510</v>
      </c>
      <c r="D209" t="inlineStr">
        <is>
          <t>STOCKHOLMS LÄN</t>
        </is>
      </c>
      <c r="E209" t="inlineStr">
        <is>
          <t>SÖDERTÄLJE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4443-2023</t>
        </is>
      </c>
      <c r="B210" s="1" t="n">
        <v>44956</v>
      </c>
      <c r="C210" s="1" t="n">
        <v>45510</v>
      </c>
      <c r="D210" t="inlineStr">
        <is>
          <t>STOCKHOLMS LÄN</t>
        </is>
      </c>
      <c r="E210" t="inlineStr">
        <is>
          <t>SÖDERTÄLJE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4440-2023</t>
        </is>
      </c>
      <c r="B211" s="1" t="n">
        <v>44956</v>
      </c>
      <c r="C211" s="1" t="n">
        <v>45510</v>
      </c>
      <c r="D211" t="inlineStr">
        <is>
          <t>STOCKHOLMS LÄN</t>
        </is>
      </c>
      <c r="E211" t="inlineStr">
        <is>
          <t>SÖDERTÄLJE</t>
        </is>
      </c>
      <c r="G211" t="n">
        <v>18.4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6052-2023</t>
        </is>
      </c>
      <c r="B212" s="1" t="n">
        <v>44964</v>
      </c>
      <c r="C212" s="1" t="n">
        <v>45510</v>
      </c>
      <c r="D212" t="inlineStr">
        <is>
          <t>STOCKHOLMS LÄN</t>
        </is>
      </c>
      <c r="E212" t="inlineStr">
        <is>
          <t>SÖDERTÄLJE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6032-2023</t>
        </is>
      </c>
      <c r="B213" s="1" t="n">
        <v>44964</v>
      </c>
      <c r="C213" s="1" t="n">
        <v>45510</v>
      </c>
      <c r="D213" t="inlineStr">
        <is>
          <t>STOCKHOLMS LÄN</t>
        </is>
      </c>
      <c r="E213" t="inlineStr">
        <is>
          <t>SÖDERTÄLJE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6041-2023</t>
        </is>
      </c>
      <c r="B214" s="1" t="n">
        <v>44964</v>
      </c>
      <c r="C214" s="1" t="n">
        <v>45510</v>
      </c>
      <c r="D214" t="inlineStr">
        <is>
          <t>STOCKHOLMS LÄN</t>
        </is>
      </c>
      <c r="E214" t="inlineStr">
        <is>
          <t>SÖDERTÄLJE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7841-2023</t>
        </is>
      </c>
      <c r="B215" s="1" t="n">
        <v>44973</v>
      </c>
      <c r="C215" s="1" t="n">
        <v>45510</v>
      </c>
      <c r="D215" t="inlineStr">
        <is>
          <t>STOCKHOLMS LÄN</t>
        </is>
      </c>
      <c r="E215" t="inlineStr">
        <is>
          <t>SÖDERTÄLJE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7823-2023</t>
        </is>
      </c>
      <c r="B216" s="1" t="n">
        <v>44973</v>
      </c>
      <c r="C216" s="1" t="n">
        <v>45510</v>
      </c>
      <c r="D216" t="inlineStr">
        <is>
          <t>STOCKHOLMS LÄN</t>
        </is>
      </c>
      <c r="E216" t="inlineStr">
        <is>
          <t>SÖDERTÄLJE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8611-2023</t>
        </is>
      </c>
      <c r="B217" s="1" t="n">
        <v>44977</v>
      </c>
      <c r="C217" s="1" t="n">
        <v>45510</v>
      </c>
      <c r="D217" t="inlineStr">
        <is>
          <t>STOCKHOLMS LÄN</t>
        </is>
      </c>
      <c r="E217" t="inlineStr">
        <is>
          <t>SÖDERTÄLJE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13202-2023</t>
        </is>
      </c>
      <c r="B218" s="1" t="n">
        <v>45002</v>
      </c>
      <c r="C218" s="1" t="n">
        <v>45510</v>
      </c>
      <c r="D218" t="inlineStr">
        <is>
          <t>STOCKHOLMS LÄN</t>
        </is>
      </c>
      <c r="E218" t="inlineStr">
        <is>
          <t>SÖDERTÄLJE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16413-2023</t>
        </is>
      </c>
      <c r="B219" s="1" t="n">
        <v>45029</v>
      </c>
      <c r="C219" s="1" t="n">
        <v>45510</v>
      </c>
      <c r="D219" t="inlineStr">
        <is>
          <t>STOCKHOLMS LÄN</t>
        </is>
      </c>
      <c r="E219" t="inlineStr">
        <is>
          <t>SÖDERTÄLJE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16658-2023</t>
        </is>
      </c>
      <c r="B220" s="1" t="n">
        <v>45030</v>
      </c>
      <c r="C220" s="1" t="n">
        <v>45510</v>
      </c>
      <c r="D220" t="inlineStr">
        <is>
          <t>STOCKHOLMS LÄN</t>
        </is>
      </c>
      <c r="E220" t="inlineStr">
        <is>
          <t>SÖDERTÄLJE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18592-2023</t>
        </is>
      </c>
      <c r="B221" s="1" t="n">
        <v>45043</v>
      </c>
      <c r="C221" s="1" t="n">
        <v>45510</v>
      </c>
      <c r="D221" t="inlineStr">
        <is>
          <t>STOCKHOLMS LÄN</t>
        </is>
      </c>
      <c r="E221" t="inlineStr">
        <is>
          <t>SÖDERTÄLJE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21654-2023</t>
        </is>
      </c>
      <c r="B222" s="1" t="n">
        <v>45063</v>
      </c>
      <c r="C222" s="1" t="n">
        <v>45510</v>
      </c>
      <c r="D222" t="inlineStr">
        <is>
          <t>STOCKHOLMS LÄN</t>
        </is>
      </c>
      <c r="E222" t="inlineStr">
        <is>
          <t>SÖDERTÄLJE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23090-2023</t>
        </is>
      </c>
      <c r="B223" s="1" t="n">
        <v>45075</v>
      </c>
      <c r="C223" s="1" t="n">
        <v>45510</v>
      </c>
      <c r="D223" t="inlineStr">
        <is>
          <t>STOCKHOLMS LÄN</t>
        </is>
      </c>
      <c r="E223" t="inlineStr">
        <is>
          <t>SÖDERTÄLJE</t>
        </is>
      </c>
      <c r="F223" t="inlineStr">
        <is>
          <t>Sveaskog</t>
        </is>
      </c>
      <c r="G223" t="n">
        <v>10.5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23092-2023</t>
        </is>
      </c>
      <c r="B224" s="1" t="n">
        <v>45075</v>
      </c>
      <c r="C224" s="1" t="n">
        <v>45510</v>
      </c>
      <c r="D224" t="inlineStr">
        <is>
          <t>STOCKHOLMS LÄN</t>
        </is>
      </c>
      <c r="E224" t="inlineStr">
        <is>
          <t>SÖDERTÄLJE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23093-2023</t>
        </is>
      </c>
      <c r="B225" s="1" t="n">
        <v>45075</v>
      </c>
      <c r="C225" s="1" t="n">
        <v>45510</v>
      </c>
      <c r="D225" t="inlineStr">
        <is>
          <t>STOCKHOLMS LÄN</t>
        </is>
      </c>
      <c r="E225" t="inlineStr">
        <is>
          <t>SÖDERTÄLJE</t>
        </is>
      </c>
      <c r="F225" t="inlineStr">
        <is>
          <t>Sveaskog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24735-2023</t>
        </is>
      </c>
      <c r="B226" s="1" t="n">
        <v>45078</v>
      </c>
      <c r="C226" s="1" t="n">
        <v>45510</v>
      </c>
      <c r="D226" t="inlineStr">
        <is>
          <t>STOCKHOLMS LÄN</t>
        </is>
      </c>
      <c r="E226" t="inlineStr">
        <is>
          <t>SÖDERTÄLJE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25549-2023</t>
        </is>
      </c>
      <c r="B227" s="1" t="n">
        <v>45082</v>
      </c>
      <c r="C227" s="1" t="n">
        <v>45510</v>
      </c>
      <c r="D227" t="inlineStr">
        <is>
          <t>STOCKHOLMS LÄN</t>
        </is>
      </c>
      <c r="E227" t="inlineStr">
        <is>
          <t>SÖDERTÄLJE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25706-2023</t>
        </is>
      </c>
      <c r="B228" s="1" t="n">
        <v>45090</v>
      </c>
      <c r="C228" s="1" t="n">
        <v>45510</v>
      </c>
      <c r="D228" t="inlineStr">
        <is>
          <t>STOCKHOLMS LÄN</t>
        </is>
      </c>
      <c r="E228" t="inlineStr">
        <is>
          <t>SÖDERTÄLJE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27183-2023</t>
        </is>
      </c>
      <c r="B229" s="1" t="n">
        <v>45096</v>
      </c>
      <c r="C229" s="1" t="n">
        <v>45510</v>
      </c>
      <c r="D229" t="inlineStr">
        <is>
          <t>STOCKHOLMS LÄN</t>
        </is>
      </c>
      <c r="E229" t="inlineStr">
        <is>
          <t>SÖDERTÄLJE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28290-2023</t>
        </is>
      </c>
      <c r="B230" s="1" t="n">
        <v>45099</v>
      </c>
      <c r="C230" s="1" t="n">
        <v>45510</v>
      </c>
      <c r="D230" t="inlineStr">
        <is>
          <t>STOCKHOLMS LÄN</t>
        </is>
      </c>
      <c r="E230" t="inlineStr">
        <is>
          <t>SÖDERTÄLJE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28502-2023</t>
        </is>
      </c>
      <c r="B231" s="1" t="n">
        <v>45103</v>
      </c>
      <c r="C231" s="1" t="n">
        <v>45510</v>
      </c>
      <c r="D231" t="inlineStr">
        <is>
          <t>STOCKHOLMS LÄN</t>
        </is>
      </c>
      <c r="E231" t="inlineStr">
        <is>
          <t>SÖDERTÄLJE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28635-2023</t>
        </is>
      </c>
      <c r="B232" s="1" t="n">
        <v>45103</v>
      </c>
      <c r="C232" s="1" t="n">
        <v>45510</v>
      </c>
      <c r="D232" t="inlineStr">
        <is>
          <t>STOCKHOLMS LÄN</t>
        </is>
      </c>
      <c r="E232" t="inlineStr">
        <is>
          <t>SÖDERTÄLJE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28695-2023</t>
        </is>
      </c>
      <c r="B233" s="1" t="n">
        <v>45103</v>
      </c>
      <c r="C233" s="1" t="n">
        <v>45510</v>
      </c>
      <c r="D233" t="inlineStr">
        <is>
          <t>STOCKHOLMS LÄN</t>
        </is>
      </c>
      <c r="E233" t="inlineStr">
        <is>
          <t>SÖDERTÄLJE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28609-2023</t>
        </is>
      </c>
      <c r="B234" s="1" t="n">
        <v>45103</v>
      </c>
      <c r="C234" s="1" t="n">
        <v>45510</v>
      </c>
      <c r="D234" t="inlineStr">
        <is>
          <t>STOCKHOLMS LÄN</t>
        </is>
      </c>
      <c r="E234" t="inlineStr">
        <is>
          <t>SÖDERTÄLJE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28683-2023</t>
        </is>
      </c>
      <c r="B235" s="1" t="n">
        <v>45103</v>
      </c>
      <c r="C235" s="1" t="n">
        <v>45510</v>
      </c>
      <c r="D235" t="inlineStr">
        <is>
          <t>STOCKHOLMS LÄN</t>
        </is>
      </c>
      <c r="E235" t="inlineStr">
        <is>
          <t>SÖDERTÄLJE</t>
        </is>
      </c>
      <c r="G235" t="n">
        <v>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28700-2023</t>
        </is>
      </c>
      <c r="B236" s="1" t="n">
        <v>45103</v>
      </c>
      <c r="C236" s="1" t="n">
        <v>45510</v>
      </c>
      <c r="D236" t="inlineStr">
        <is>
          <t>STOCKHOLMS LÄN</t>
        </is>
      </c>
      <c r="E236" t="inlineStr">
        <is>
          <t>SÖDERTÄLJE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28516-2023</t>
        </is>
      </c>
      <c r="B237" s="1" t="n">
        <v>45103</v>
      </c>
      <c r="C237" s="1" t="n">
        <v>45510</v>
      </c>
      <c r="D237" t="inlineStr">
        <is>
          <t>STOCKHOLMS LÄN</t>
        </is>
      </c>
      <c r="E237" t="inlineStr">
        <is>
          <t>SÖDERTÄLJE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28554-2023</t>
        </is>
      </c>
      <c r="B238" s="1" t="n">
        <v>45103</v>
      </c>
      <c r="C238" s="1" t="n">
        <v>45510</v>
      </c>
      <c r="D238" t="inlineStr">
        <is>
          <t>STOCKHOLMS LÄN</t>
        </is>
      </c>
      <c r="E238" t="inlineStr">
        <is>
          <t>SÖDERTÄLJE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28566-2023</t>
        </is>
      </c>
      <c r="B239" s="1" t="n">
        <v>45103</v>
      </c>
      <c r="C239" s="1" t="n">
        <v>45510</v>
      </c>
      <c r="D239" t="inlineStr">
        <is>
          <t>STOCKHOLMS LÄN</t>
        </is>
      </c>
      <c r="E239" t="inlineStr">
        <is>
          <t>SÖDERTÄLJE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28698-2023</t>
        </is>
      </c>
      <c r="B240" s="1" t="n">
        <v>45103</v>
      </c>
      <c r="C240" s="1" t="n">
        <v>45510</v>
      </c>
      <c r="D240" t="inlineStr">
        <is>
          <t>STOCKHOLMS LÄN</t>
        </is>
      </c>
      <c r="E240" t="inlineStr">
        <is>
          <t>SÖDERTÄLJE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28981-2023</t>
        </is>
      </c>
      <c r="B241" s="1" t="n">
        <v>45104</v>
      </c>
      <c r="C241" s="1" t="n">
        <v>45510</v>
      </c>
      <c r="D241" t="inlineStr">
        <is>
          <t>STOCKHOLMS LÄN</t>
        </is>
      </c>
      <c r="E241" t="inlineStr">
        <is>
          <t>SÖDERTÄLJE</t>
        </is>
      </c>
      <c r="G241" t="n">
        <v>12.2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28958-2023</t>
        </is>
      </c>
      <c r="B242" s="1" t="n">
        <v>45104</v>
      </c>
      <c r="C242" s="1" t="n">
        <v>45510</v>
      </c>
      <c r="D242" t="inlineStr">
        <is>
          <t>STOCKHOLMS LÄN</t>
        </is>
      </c>
      <c r="E242" t="inlineStr">
        <is>
          <t>SÖDERTÄLJE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30145-2023</t>
        </is>
      </c>
      <c r="B243" s="1" t="n">
        <v>45110</v>
      </c>
      <c r="C243" s="1" t="n">
        <v>45510</v>
      </c>
      <c r="D243" t="inlineStr">
        <is>
          <t>STOCKHOLMS LÄN</t>
        </is>
      </c>
      <c r="E243" t="inlineStr">
        <is>
          <t>SÖDERTÄLJE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31743-2023</t>
        </is>
      </c>
      <c r="B244" s="1" t="n">
        <v>45117</v>
      </c>
      <c r="C244" s="1" t="n">
        <v>45510</v>
      </c>
      <c r="D244" t="inlineStr">
        <is>
          <t>STOCKHOLMS LÄN</t>
        </is>
      </c>
      <c r="E244" t="inlineStr">
        <is>
          <t>SÖDERTÄLJE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32040-2023</t>
        </is>
      </c>
      <c r="B245" s="1" t="n">
        <v>45119</v>
      </c>
      <c r="C245" s="1" t="n">
        <v>45510</v>
      </c>
      <c r="D245" t="inlineStr">
        <is>
          <t>STOCKHOLMS LÄN</t>
        </is>
      </c>
      <c r="E245" t="inlineStr">
        <is>
          <t>SÖDERTÄLJE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32044-2023</t>
        </is>
      </c>
      <c r="B246" s="1" t="n">
        <v>45119</v>
      </c>
      <c r="C246" s="1" t="n">
        <v>45510</v>
      </c>
      <c r="D246" t="inlineStr">
        <is>
          <t>STOCKHOLMS LÄN</t>
        </is>
      </c>
      <c r="E246" t="inlineStr">
        <is>
          <t>SÖDERTÄLJE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32047-2023</t>
        </is>
      </c>
      <c r="B247" s="1" t="n">
        <v>45119</v>
      </c>
      <c r="C247" s="1" t="n">
        <v>45510</v>
      </c>
      <c r="D247" t="inlineStr">
        <is>
          <t>STOCKHOLMS LÄN</t>
        </is>
      </c>
      <c r="E247" t="inlineStr">
        <is>
          <t>SÖDERTÄLJE</t>
        </is>
      </c>
      <c r="F247" t="inlineStr">
        <is>
          <t>Sveaskog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35113-2023</t>
        </is>
      </c>
      <c r="B248" s="1" t="n">
        <v>45145</v>
      </c>
      <c r="C248" s="1" t="n">
        <v>45510</v>
      </c>
      <c r="D248" t="inlineStr">
        <is>
          <t>STOCKHOLMS LÄN</t>
        </is>
      </c>
      <c r="E248" t="inlineStr">
        <is>
          <t>SÖDERTÄLJE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35145-2023</t>
        </is>
      </c>
      <c r="B249" s="1" t="n">
        <v>45145</v>
      </c>
      <c r="C249" s="1" t="n">
        <v>45510</v>
      </c>
      <c r="D249" t="inlineStr">
        <is>
          <t>STOCKHOLMS LÄN</t>
        </is>
      </c>
      <c r="E249" t="inlineStr">
        <is>
          <t>SÖDERTÄLJE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35200-2023</t>
        </is>
      </c>
      <c r="B250" s="1" t="n">
        <v>45145</v>
      </c>
      <c r="C250" s="1" t="n">
        <v>45510</v>
      </c>
      <c r="D250" t="inlineStr">
        <is>
          <t>STOCKHOLMS LÄN</t>
        </is>
      </c>
      <c r="E250" t="inlineStr">
        <is>
          <t>SÖDERTÄLJE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35418-2023</t>
        </is>
      </c>
      <c r="B251" s="1" t="n">
        <v>45146</v>
      </c>
      <c r="C251" s="1" t="n">
        <v>45510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36886-2023</t>
        </is>
      </c>
      <c r="B252" s="1" t="n">
        <v>45154</v>
      </c>
      <c r="C252" s="1" t="n">
        <v>45510</v>
      </c>
      <c r="D252" t="inlineStr">
        <is>
          <t>STOCKHOLMS LÄN</t>
        </is>
      </c>
      <c r="E252" t="inlineStr">
        <is>
          <t>SÖDERTÄLJE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37118-2023</t>
        </is>
      </c>
      <c r="B253" s="1" t="n">
        <v>45155</v>
      </c>
      <c r="C253" s="1" t="n">
        <v>45510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39295-2023</t>
        </is>
      </c>
      <c r="B254" s="1" t="n">
        <v>45166</v>
      </c>
      <c r="C254" s="1" t="n">
        <v>45510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39296-2023</t>
        </is>
      </c>
      <c r="B255" s="1" t="n">
        <v>45166</v>
      </c>
      <c r="C255" s="1" t="n">
        <v>45510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40603-2023</t>
        </is>
      </c>
      <c r="B256" s="1" t="n">
        <v>45170</v>
      </c>
      <c r="C256" s="1" t="n">
        <v>45510</v>
      </c>
      <c r="D256" t="inlineStr">
        <is>
          <t>STOCKHOLMS LÄN</t>
        </is>
      </c>
      <c r="E256" t="inlineStr">
        <is>
          <t>SÖDERTÄLJE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41111-2023</t>
        </is>
      </c>
      <c r="B257" s="1" t="n">
        <v>45173</v>
      </c>
      <c r="C257" s="1" t="n">
        <v>45510</v>
      </c>
      <c r="D257" t="inlineStr">
        <is>
          <t>STOCKHOLMS LÄN</t>
        </is>
      </c>
      <c r="E257" t="inlineStr">
        <is>
          <t>SÖDERTÄLJE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41115-2023</t>
        </is>
      </c>
      <c r="B258" s="1" t="n">
        <v>45173</v>
      </c>
      <c r="C258" s="1" t="n">
        <v>45510</v>
      </c>
      <c r="D258" t="inlineStr">
        <is>
          <t>STOCKHOLMS LÄN</t>
        </is>
      </c>
      <c r="E258" t="inlineStr">
        <is>
          <t>SÖDERTÄLJE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41113-2023</t>
        </is>
      </c>
      <c r="B259" s="1" t="n">
        <v>45173</v>
      </c>
      <c r="C259" s="1" t="n">
        <v>45510</v>
      </c>
      <c r="D259" t="inlineStr">
        <is>
          <t>STOCKHOLMS LÄN</t>
        </is>
      </c>
      <c r="E259" t="inlineStr">
        <is>
          <t>SÖDERTÄLJE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41116-2023</t>
        </is>
      </c>
      <c r="B260" s="1" t="n">
        <v>45173</v>
      </c>
      <c r="C260" s="1" t="n">
        <v>45510</v>
      </c>
      <c r="D260" t="inlineStr">
        <is>
          <t>STOCKHOLMS LÄN</t>
        </is>
      </c>
      <c r="E260" t="inlineStr">
        <is>
          <t>SÖDERTÄLJE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41141-2023</t>
        </is>
      </c>
      <c r="B261" s="1" t="n">
        <v>45173</v>
      </c>
      <c r="C261" s="1" t="n">
        <v>45510</v>
      </c>
      <c r="D261" t="inlineStr">
        <is>
          <t>STOCKHOLMS LÄN</t>
        </is>
      </c>
      <c r="E261" t="inlineStr">
        <is>
          <t>SÖDERTÄLJE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42133-2023</t>
        </is>
      </c>
      <c r="B262" s="1" t="n">
        <v>45177</v>
      </c>
      <c r="C262" s="1" t="n">
        <v>45510</v>
      </c>
      <c r="D262" t="inlineStr">
        <is>
          <t>STOCKHOLMS LÄN</t>
        </is>
      </c>
      <c r="E262" t="inlineStr">
        <is>
          <t>SÖDERTÄLJE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47576-2023</t>
        </is>
      </c>
      <c r="B263" s="1" t="n">
        <v>45197</v>
      </c>
      <c r="C263" s="1" t="n">
        <v>45510</v>
      </c>
      <c r="D263" t="inlineStr">
        <is>
          <t>STOCKHOLMS LÄN</t>
        </is>
      </c>
      <c r="E263" t="inlineStr">
        <is>
          <t>SÖDERTÄLJE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47714-2023</t>
        </is>
      </c>
      <c r="B264" s="1" t="n">
        <v>45198</v>
      </c>
      <c r="C264" s="1" t="n">
        <v>45510</v>
      </c>
      <c r="D264" t="inlineStr">
        <is>
          <t>STOCKHOLMS LÄN</t>
        </is>
      </c>
      <c r="E264" t="inlineStr">
        <is>
          <t>SÖDERTÄLJE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49395-2023</t>
        </is>
      </c>
      <c r="B265" s="1" t="n">
        <v>45211</v>
      </c>
      <c r="C265" s="1" t="n">
        <v>45510</v>
      </c>
      <c r="D265" t="inlineStr">
        <is>
          <t>STOCKHOLMS LÄN</t>
        </is>
      </c>
      <c r="E265" t="inlineStr">
        <is>
          <t>SÖDERTÄLJE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51931-2023</t>
        </is>
      </c>
      <c r="B266" s="1" t="n">
        <v>45216</v>
      </c>
      <c r="C266" s="1" t="n">
        <v>45510</v>
      </c>
      <c r="D266" t="inlineStr">
        <is>
          <t>STOCKHOLMS LÄN</t>
        </is>
      </c>
      <c r="E266" t="inlineStr">
        <is>
          <t>SÖDERTÄLJE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51087-2023</t>
        </is>
      </c>
      <c r="B267" s="1" t="n">
        <v>45218</v>
      </c>
      <c r="C267" s="1" t="n">
        <v>45510</v>
      </c>
      <c r="D267" t="inlineStr">
        <is>
          <t>STOCKHOLMS LÄN</t>
        </is>
      </c>
      <c r="E267" t="inlineStr">
        <is>
          <t>SÖDERTÄLJE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51674-2023</t>
        </is>
      </c>
      <c r="B268" s="1" t="n">
        <v>45222</v>
      </c>
      <c r="C268" s="1" t="n">
        <v>45510</v>
      </c>
      <c r="D268" t="inlineStr">
        <is>
          <t>STOCKHOLMS LÄN</t>
        </is>
      </c>
      <c r="E268" t="inlineStr">
        <is>
          <t>SÖDERTÄLJE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52815-2023</t>
        </is>
      </c>
      <c r="B269" s="1" t="n">
        <v>45226</v>
      </c>
      <c r="C269" s="1" t="n">
        <v>45510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52814-2023</t>
        </is>
      </c>
      <c r="B270" s="1" t="n">
        <v>45226</v>
      </c>
      <c r="C270" s="1" t="n">
        <v>45510</v>
      </c>
      <c r="D270" t="inlineStr">
        <is>
          <t>STOCKHOLMS LÄN</t>
        </is>
      </c>
      <c r="E270" t="inlineStr">
        <is>
          <t>SÖDERTÄLJE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53232-2023</t>
        </is>
      </c>
      <c r="B271" s="1" t="n">
        <v>45229</v>
      </c>
      <c r="C271" s="1" t="n">
        <v>45510</v>
      </c>
      <c r="D271" t="inlineStr">
        <is>
          <t>STOCKHOLMS LÄN</t>
        </is>
      </c>
      <c r="E271" t="inlineStr">
        <is>
          <t>SÖDERTÄLJE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55940-2023</t>
        </is>
      </c>
      <c r="B272" s="1" t="n">
        <v>45240</v>
      </c>
      <c r="C272" s="1" t="n">
        <v>45510</v>
      </c>
      <c r="D272" t="inlineStr">
        <is>
          <t>STOCKHOLMS LÄN</t>
        </is>
      </c>
      <c r="E272" t="inlineStr">
        <is>
          <t>SÖDERTÄLJE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55941-2023</t>
        </is>
      </c>
      <c r="B273" s="1" t="n">
        <v>45240</v>
      </c>
      <c r="C273" s="1" t="n">
        <v>45510</v>
      </c>
      <c r="D273" t="inlineStr">
        <is>
          <t>STOCKHOLMS LÄN</t>
        </is>
      </c>
      <c r="E273" t="inlineStr">
        <is>
          <t>SÖDERTÄLJE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56358-2023</t>
        </is>
      </c>
      <c r="B274" s="1" t="n">
        <v>45243</v>
      </c>
      <c r="C274" s="1" t="n">
        <v>45510</v>
      </c>
      <c r="D274" t="inlineStr">
        <is>
          <t>STOCKHOLMS LÄN</t>
        </is>
      </c>
      <c r="E274" t="inlineStr">
        <is>
          <t>SÖDERTÄLJE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56344-2023</t>
        </is>
      </c>
      <c r="B275" s="1" t="n">
        <v>45243</v>
      </c>
      <c r="C275" s="1" t="n">
        <v>45510</v>
      </c>
      <c r="D275" t="inlineStr">
        <is>
          <t>STOCKHOLMS LÄN</t>
        </is>
      </c>
      <c r="E275" t="inlineStr">
        <is>
          <t>SÖDERTÄLJE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56349-2023</t>
        </is>
      </c>
      <c r="B276" s="1" t="n">
        <v>45243</v>
      </c>
      <c r="C276" s="1" t="n">
        <v>45510</v>
      </c>
      <c r="D276" t="inlineStr">
        <is>
          <t>STOCKHOLMS LÄN</t>
        </is>
      </c>
      <c r="E276" t="inlineStr">
        <is>
          <t>SÖDERTÄLJE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56354-2023</t>
        </is>
      </c>
      <c r="B277" s="1" t="n">
        <v>45243</v>
      </c>
      <c r="C277" s="1" t="n">
        <v>45510</v>
      </c>
      <c r="D277" t="inlineStr">
        <is>
          <t>STOCKHOLMS LÄN</t>
        </is>
      </c>
      <c r="E277" t="inlineStr">
        <is>
          <t>SÖDERTÄLJE</t>
        </is>
      </c>
      <c r="G277" t="n">
        <v>11.4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56596-2023</t>
        </is>
      </c>
      <c r="B278" s="1" t="n">
        <v>45243</v>
      </c>
      <c r="C278" s="1" t="n">
        <v>45510</v>
      </c>
      <c r="D278" t="inlineStr">
        <is>
          <t>STOCKHOLMS LÄN</t>
        </is>
      </c>
      <c r="E278" t="inlineStr">
        <is>
          <t>SÖDERTÄLJE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56373-2023</t>
        </is>
      </c>
      <c r="B279" s="1" t="n">
        <v>45243</v>
      </c>
      <c r="C279" s="1" t="n">
        <v>45510</v>
      </c>
      <c r="D279" t="inlineStr">
        <is>
          <t>STOCKHOLMS LÄN</t>
        </is>
      </c>
      <c r="E279" t="inlineStr">
        <is>
          <t>SÖDERTÄLJE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56762-2023</t>
        </is>
      </c>
      <c r="B280" s="1" t="n">
        <v>45244</v>
      </c>
      <c r="C280" s="1" t="n">
        <v>45510</v>
      </c>
      <c r="D280" t="inlineStr">
        <is>
          <t>STOCKHOLMS LÄN</t>
        </is>
      </c>
      <c r="E280" t="inlineStr">
        <is>
          <t>SÖDERTÄLJE</t>
        </is>
      </c>
      <c r="G280" t="n">
        <v>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57512-2023</t>
        </is>
      </c>
      <c r="B281" s="1" t="n">
        <v>45246</v>
      </c>
      <c r="C281" s="1" t="n">
        <v>45510</v>
      </c>
      <c r="D281" t="inlineStr">
        <is>
          <t>STOCKHOLMS LÄN</t>
        </is>
      </c>
      <c r="E281" t="inlineStr">
        <is>
          <t>SÖDERTÄLJE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58140-2023</t>
        </is>
      </c>
      <c r="B282" s="1" t="n">
        <v>45250</v>
      </c>
      <c r="C282" s="1" t="n">
        <v>45510</v>
      </c>
      <c r="D282" t="inlineStr">
        <is>
          <t>STOCKHOLMS LÄN</t>
        </is>
      </c>
      <c r="E282" t="inlineStr">
        <is>
          <t>SÖDERTÄLJE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62311-2023</t>
        </is>
      </c>
      <c r="B283" s="1" t="n">
        <v>45266</v>
      </c>
      <c r="C283" s="1" t="n">
        <v>45510</v>
      </c>
      <c r="D283" t="inlineStr">
        <is>
          <t>STOCKHOLMS LÄN</t>
        </is>
      </c>
      <c r="E283" t="inlineStr">
        <is>
          <t>SÖDERTÄLJE</t>
        </is>
      </c>
      <c r="G283" t="n">
        <v>9.9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62320-2023</t>
        </is>
      </c>
      <c r="B284" s="1" t="n">
        <v>45267</v>
      </c>
      <c r="C284" s="1" t="n">
        <v>45510</v>
      </c>
      <c r="D284" t="inlineStr">
        <is>
          <t>STOCKHOLMS LÄN</t>
        </is>
      </c>
      <c r="E284" t="inlineStr">
        <is>
          <t>SÖDERTÄLJE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22-2024</t>
        </is>
      </c>
      <c r="B285" s="1" t="n">
        <v>45293</v>
      </c>
      <c r="C285" s="1" t="n">
        <v>45510</v>
      </c>
      <c r="D285" t="inlineStr">
        <is>
          <t>STOCKHOLMS LÄN</t>
        </is>
      </c>
      <c r="E285" t="inlineStr">
        <is>
          <t>SÖDERTÄLJE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81-2024</t>
        </is>
      </c>
      <c r="B286" s="1" t="n">
        <v>45293</v>
      </c>
      <c r="C286" s="1" t="n">
        <v>45510</v>
      </c>
      <c r="D286" t="inlineStr">
        <is>
          <t>STOCKHOLMS LÄN</t>
        </is>
      </c>
      <c r="E286" t="inlineStr">
        <is>
          <t>SÖDERTÄLJE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95-2024</t>
        </is>
      </c>
      <c r="B287" s="1" t="n">
        <v>45293</v>
      </c>
      <c r="C287" s="1" t="n">
        <v>45510</v>
      </c>
      <c r="D287" t="inlineStr">
        <is>
          <t>STOCKHOLMS LÄN</t>
        </is>
      </c>
      <c r="E287" t="inlineStr">
        <is>
          <t>SÖDERTÄLJE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92-2024</t>
        </is>
      </c>
      <c r="B288" s="1" t="n">
        <v>45293</v>
      </c>
      <c r="C288" s="1" t="n">
        <v>45510</v>
      </c>
      <c r="D288" t="inlineStr">
        <is>
          <t>STOCKHOLMS LÄN</t>
        </is>
      </c>
      <c r="E288" t="inlineStr">
        <is>
          <t>SÖDERTÄLJE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487-2024</t>
        </is>
      </c>
      <c r="B289" s="1" t="n">
        <v>45298</v>
      </c>
      <c r="C289" s="1" t="n">
        <v>45510</v>
      </c>
      <c r="D289" t="inlineStr">
        <is>
          <t>STOCKHOLMS LÄN</t>
        </is>
      </c>
      <c r="E289" t="inlineStr">
        <is>
          <t>SÖDERTÄLJE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1955-2024</t>
        </is>
      </c>
      <c r="B290" s="1" t="n">
        <v>45308</v>
      </c>
      <c r="C290" s="1" t="n">
        <v>45510</v>
      </c>
      <c r="D290" t="inlineStr">
        <is>
          <t>STOCKHOLMS LÄN</t>
        </is>
      </c>
      <c r="E290" t="inlineStr">
        <is>
          <t>SÖDERTÄLJE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2014-2024</t>
        </is>
      </c>
      <c r="B291" s="1" t="n">
        <v>45308</v>
      </c>
      <c r="C291" s="1" t="n">
        <v>45510</v>
      </c>
      <c r="D291" t="inlineStr">
        <is>
          <t>STOCKHOLMS LÄN</t>
        </is>
      </c>
      <c r="E291" t="inlineStr">
        <is>
          <t>SÖDERTÄLJE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2131-2024</t>
        </is>
      </c>
      <c r="B292" s="1" t="n">
        <v>45309</v>
      </c>
      <c r="C292" s="1" t="n">
        <v>45510</v>
      </c>
      <c r="D292" t="inlineStr">
        <is>
          <t>STOCKHOLMS LÄN</t>
        </is>
      </c>
      <c r="E292" t="inlineStr">
        <is>
          <t>SÖDERTÄLJE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3108-2024</t>
        </is>
      </c>
      <c r="B293" s="1" t="n">
        <v>45316</v>
      </c>
      <c r="C293" s="1" t="n">
        <v>45510</v>
      </c>
      <c r="D293" t="inlineStr">
        <is>
          <t>STOCKHOLMS LÄN</t>
        </is>
      </c>
      <c r="E293" t="inlineStr">
        <is>
          <t>SÖDERTÄLJE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3383-2024</t>
        </is>
      </c>
      <c r="B294" s="1" t="n">
        <v>45317</v>
      </c>
      <c r="C294" s="1" t="n">
        <v>45510</v>
      </c>
      <c r="D294" t="inlineStr">
        <is>
          <t>STOCKHOLMS LÄN</t>
        </is>
      </c>
      <c r="E294" t="inlineStr">
        <is>
          <t>SÖDERTÄLJE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3382-2024</t>
        </is>
      </c>
      <c r="B295" s="1" t="n">
        <v>45317</v>
      </c>
      <c r="C295" s="1" t="n">
        <v>45510</v>
      </c>
      <c r="D295" t="inlineStr">
        <is>
          <t>STOCKHOLMS LÄN</t>
        </is>
      </c>
      <c r="E295" t="inlineStr">
        <is>
          <t>SÖDERTÄLJE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3384-2024</t>
        </is>
      </c>
      <c r="B296" s="1" t="n">
        <v>45317</v>
      </c>
      <c r="C296" s="1" t="n">
        <v>45510</v>
      </c>
      <c r="D296" t="inlineStr">
        <is>
          <t>STOCKHOLMS LÄN</t>
        </is>
      </c>
      <c r="E296" t="inlineStr">
        <is>
          <t>SÖDERTÄLJE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9169-2024</t>
        </is>
      </c>
      <c r="B297" s="1" t="n">
        <v>45358</v>
      </c>
      <c r="C297" s="1" t="n">
        <v>45510</v>
      </c>
      <c r="D297" t="inlineStr">
        <is>
          <t>STOCKHOLMS LÄN</t>
        </is>
      </c>
      <c r="E297" t="inlineStr">
        <is>
          <t>SÖDERTÄLJE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11319-2024</t>
        </is>
      </c>
      <c r="B298" s="1" t="n">
        <v>45371</v>
      </c>
      <c r="C298" s="1" t="n">
        <v>45510</v>
      </c>
      <c r="D298" t="inlineStr">
        <is>
          <t>STOCKHOLMS LÄN</t>
        </is>
      </c>
      <c r="E298" t="inlineStr">
        <is>
          <t>SÖDERTÄLJE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12624-2024</t>
        </is>
      </c>
      <c r="B299" s="1" t="n">
        <v>45383</v>
      </c>
      <c r="C299" s="1" t="n">
        <v>45510</v>
      </c>
      <c r="D299" t="inlineStr">
        <is>
          <t>STOCKHOLMS LÄN</t>
        </is>
      </c>
      <c r="E299" t="inlineStr">
        <is>
          <t>SÖDERTÄLJE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12627-2024</t>
        </is>
      </c>
      <c r="B300" s="1" t="n">
        <v>45383</v>
      </c>
      <c r="C300" s="1" t="n">
        <v>45510</v>
      </c>
      <c r="D300" t="inlineStr">
        <is>
          <t>STOCKHOLMS LÄN</t>
        </is>
      </c>
      <c r="E300" t="inlineStr">
        <is>
          <t>SÖDERTÄLJE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12907-2024</t>
        </is>
      </c>
      <c r="B301" s="1" t="n">
        <v>45385</v>
      </c>
      <c r="C301" s="1" t="n">
        <v>45510</v>
      </c>
      <c r="D301" t="inlineStr">
        <is>
          <t>STOCKHOLMS LÄN</t>
        </is>
      </c>
      <c r="E301" t="inlineStr">
        <is>
          <t>SÖDERTÄLJE</t>
        </is>
      </c>
      <c r="G301" t="n">
        <v>11.9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13329-2024</t>
        </is>
      </c>
      <c r="B302" s="1" t="n">
        <v>45386</v>
      </c>
      <c r="C302" s="1" t="n">
        <v>45510</v>
      </c>
      <c r="D302" t="inlineStr">
        <is>
          <t>STOCKHOLMS LÄN</t>
        </is>
      </c>
      <c r="E302" t="inlineStr">
        <is>
          <t>SÖDERTÄLJE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13327-2024</t>
        </is>
      </c>
      <c r="B303" s="1" t="n">
        <v>45386</v>
      </c>
      <c r="C303" s="1" t="n">
        <v>45510</v>
      </c>
      <c r="D303" t="inlineStr">
        <is>
          <t>STOCKHOLMS LÄN</t>
        </is>
      </c>
      <c r="E303" t="inlineStr">
        <is>
          <t>SÖDERTÄLJE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13649-2024</t>
        </is>
      </c>
      <c r="B304" s="1" t="n">
        <v>45390</v>
      </c>
      <c r="C304" s="1" t="n">
        <v>45510</v>
      </c>
      <c r="D304" t="inlineStr">
        <is>
          <t>STOCKHOLMS LÄN</t>
        </is>
      </c>
      <c r="E304" t="inlineStr">
        <is>
          <t>SÖDERTÄLJE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14060-2024</t>
        </is>
      </c>
      <c r="B305" s="1" t="n">
        <v>45392</v>
      </c>
      <c r="C305" s="1" t="n">
        <v>45510</v>
      </c>
      <c r="D305" t="inlineStr">
        <is>
          <t>STOCKHOLMS LÄN</t>
        </is>
      </c>
      <c r="E305" t="inlineStr">
        <is>
          <t>SÖDERTÄLJE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14049-2024</t>
        </is>
      </c>
      <c r="B306" s="1" t="n">
        <v>45392</v>
      </c>
      <c r="C306" s="1" t="n">
        <v>45510</v>
      </c>
      <c r="D306" t="inlineStr">
        <is>
          <t>STOCKHOLMS LÄN</t>
        </is>
      </c>
      <c r="E306" t="inlineStr">
        <is>
          <t>SÖDERTÄLJE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14107-2024</t>
        </is>
      </c>
      <c r="B307" s="1" t="n">
        <v>45392</v>
      </c>
      <c r="C307" s="1" t="n">
        <v>45510</v>
      </c>
      <c r="D307" t="inlineStr">
        <is>
          <t>STOCKHOLMS LÄN</t>
        </is>
      </c>
      <c r="E307" t="inlineStr">
        <is>
          <t>SÖDERTÄLJE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14101-2024</t>
        </is>
      </c>
      <c r="B308" s="1" t="n">
        <v>45392</v>
      </c>
      <c r="C308" s="1" t="n">
        <v>45510</v>
      </c>
      <c r="D308" t="inlineStr">
        <is>
          <t>STOCKHOLMS LÄN</t>
        </is>
      </c>
      <c r="E308" t="inlineStr">
        <is>
          <t>SÖDERTÄLJE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16615-2024</t>
        </is>
      </c>
      <c r="B309" s="1" t="n">
        <v>45408</v>
      </c>
      <c r="C309" s="1" t="n">
        <v>45510</v>
      </c>
      <c r="D309" t="inlineStr">
        <is>
          <t>STOCKHOLMS LÄN</t>
        </is>
      </c>
      <c r="E309" t="inlineStr">
        <is>
          <t>SÖDERTÄLJE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16996-2024</t>
        </is>
      </c>
      <c r="B310" s="1" t="n">
        <v>45412</v>
      </c>
      <c r="C310" s="1" t="n">
        <v>45510</v>
      </c>
      <c r="D310" t="inlineStr">
        <is>
          <t>STOCKHOLMS LÄN</t>
        </is>
      </c>
      <c r="E310" t="inlineStr">
        <is>
          <t>SÖDERTÄLJE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17979-2024</t>
        </is>
      </c>
      <c r="B311" s="1" t="n">
        <v>45419</v>
      </c>
      <c r="C311" s="1" t="n">
        <v>45510</v>
      </c>
      <c r="D311" t="inlineStr">
        <is>
          <t>STOCKHOLMS LÄN</t>
        </is>
      </c>
      <c r="E311" t="inlineStr">
        <is>
          <t>SÖDERTÄLJE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17877-2024</t>
        </is>
      </c>
      <c r="B312" s="1" t="n">
        <v>45419</v>
      </c>
      <c r="C312" s="1" t="n">
        <v>45510</v>
      </c>
      <c r="D312" t="inlineStr">
        <is>
          <t>STOCKHOLMS LÄN</t>
        </is>
      </c>
      <c r="E312" t="inlineStr">
        <is>
          <t>SÖDERTÄLJE</t>
        </is>
      </c>
      <c r="G312" t="n">
        <v>9.4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18352-2024</t>
        </is>
      </c>
      <c r="B313" s="1" t="n">
        <v>45422</v>
      </c>
      <c r="C313" s="1" t="n">
        <v>45510</v>
      </c>
      <c r="D313" t="inlineStr">
        <is>
          <t>STOCKHOLMS LÄN</t>
        </is>
      </c>
      <c r="E313" t="inlineStr">
        <is>
          <t>SÖDERTÄLJE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18993-2024</t>
        </is>
      </c>
      <c r="B314" s="1" t="n">
        <v>45427</v>
      </c>
      <c r="C314" s="1" t="n">
        <v>45510</v>
      </c>
      <c r="D314" t="inlineStr">
        <is>
          <t>STOCKHOLMS LÄN</t>
        </is>
      </c>
      <c r="E314" t="inlineStr">
        <is>
          <t>SÖDERTÄLJE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19210-2024</t>
        </is>
      </c>
      <c r="B315" s="1" t="n">
        <v>45428</v>
      </c>
      <c r="C315" s="1" t="n">
        <v>45510</v>
      </c>
      <c r="D315" t="inlineStr">
        <is>
          <t>STOCKHOLMS LÄN</t>
        </is>
      </c>
      <c r="E315" t="inlineStr">
        <is>
          <t>SÖDERTÄLJE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20530-2024</t>
        </is>
      </c>
      <c r="B316" s="1" t="n">
        <v>45435</v>
      </c>
      <c r="C316" s="1" t="n">
        <v>45510</v>
      </c>
      <c r="D316" t="inlineStr">
        <is>
          <t>STOCKHOLMS LÄN</t>
        </is>
      </c>
      <c r="E316" t="inlineStr">
        <is>
          <t>SÖDERTÄLJE</t>
        </is>
      </c>
      <c r="F316" t="inlineStr">
        <is>
          <t>Övriga Aktiebolag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22617-2024</t>
        </is>
      </c>
      <c r="B317" s="1" t="n">
        <v>45447</v>
      </c>
      <c r="C317" s="1" t="n">
        <v>45510</v>
      </c>
      <c r="D317" t="inlineStr">
        <is>
          <t>STOCKHOLMS LÄN</t>
        </is>
      </c>
      <c r="E317" t="inlineStr">
        <is>
          <t>SÖDERTÄLJE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23367-2024</t>
        </is>
      </c>
      <c r="B318" s="1" t="n">
        <v>45453</v>
      </c>
      <c r="C318" s="1" t="n">
        <v>45510</v>
      </c>
      <c r="D318" t="inlineStr">
        <is>
          <t>STOCKHOLMS LÄN</t>
        </is>
      </c>
      <c r="E318" t="inlineStr">
        <is>
          <t>SÖDERTÄLJE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26902-2024</t>
        </is>
      </c>
      <c r="B319" s="1" t="n">
        <v>45470</v>
      </c>
      <c r="C319" s="1" t="n">
        <v>45510</v>
      </c>
      <c r="D319" t="inlineStr">
        <is>
          <t>STOCKHOLMS LÄN</t>
        </is>
      </c>
      <c r="E319" t="inlineStr">
        <is>
          <t>SÖDERTÄLJE</t>
        </is>
      </c>
      <c r="F319" t="inlineStr">
        <is>
          <t>Kommuner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26842-2024</t>
        </is>
      </c>
      <c r="B320" s="1" t="n">
        <v>45470</v>
      </c>
      <c r="C320" s="1" t="n">
        <v>45510</v>
      </c>
      <c r="D320" t="inlineStr">
        <is>
          <t>STOCKHOLMS LÄN</t>
        </is>
      </c>
      <c r="E320" t="inlineStr">
        <is>
          <t>SÖDERTÄLJE</t>
        </is>
      </c>
      <c r="F320" t="inlineStr">
        <is>
          <t>Kommuner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26734-2024</t>
        </is>
      </c>
      <c r="B321" s="1" t="n">
        <v>45470</v>
      </c>
      <c r="C321" s="1" t="n">
        <v>45510</v>
      </c>
      <c r="D321" t="inlineStr">
        <is>
          <t>STOCKHOLMS LÄN</t>
        </is>
      </c>
      <c r="E321" t="inlineStr">
        <is>
          <t>SÖDERTÄLJE</t>
        </is>
      </c>
      <c r="F321" t="inlineStr">
        <is>
          <t>Kommuner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26909-2024</t>
        </is>
      </c>
      <c r="B322" s="1" t="n">
        <v>45470</v>
      </c>
      <c r="C322" s="1" t="n">
        <v>45510</v>
      </c>
      <c r="D322" t="inlineStr">
        <is>
          <t>STOCKHOLMS LÄN</t>
        </is>
      </c>
      <c r="E322" t="inlineStr">
        <is>
          <t>SÖDERTÄLJE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26813-2024</t>
        </is>
      </c>
      <c r="B323" s="1" t="n">
        <v>45470</v>
      </c>
      <c r="C323" s="1" t="n">
        <v>45510</v>
      </c>
      <c r="D323" t="inlineStr">
        <is>
          <t>STOCKHOLMS LÄN</t>
        </is>
      </c>
      <c r="E323" t="inlineStr">
        <is>
          <t>SÖDERTÄLJE</t>
        </is>
      </c>
      <c r="F323" t="inlineStr">
        <is>
          <t>Kommuner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27047-2024</t>
        </is>
      </c>
      <c r="B324" s="1" t="n">
        <v>45471</v>
      </c>
      <c r="C324" s="1" t="n">
        <v>45510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Kommuner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27058-2024</t>
        </is>
      </c>
      <c r="B325" s="1" t="n">
        <v>45471</v>
      </c>
      <c r="C325" s="1" t="n">
        <v>45510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Kommuner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28982-2024</t>
        </is>
      </c>
      <c r="B326" s="1" t="n">
        <v>45481</v>
      </c>
      <c r="C326" s="1" t="n">
        <v>45510</v>
      </c>
      <c r="D326" t="inlineStr">
        <is>
          <t>STOCKHOLMS LÄN</t>
        </is>
      </c>
      <c r="E326" t="inlineStr">
        <is>
          <t>SÖDERTÄLJE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31212-2024</t>
        </is>
      </c>
      <c r="B327" s="1" t="n">
        <v>45503</v>
      </c>
      <c r="C327" s="1" t="n">
        <v>45510</v>
      </c>
      <c r="D327" t="inlineStr">
        <is>
          <t>STOCKHOLMS LÄN</t>
        </is>
      </c>
      <c r="E327" t="inlineStr">
        <is>
          <t>SÖDERTÄLJE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31375-2024</t>
        </is>
      </c>
      <c r="B328" s="1" t="n">
        <v>45505</v>
      </c>
      <c r="C328" s="1" t="n">
        <v>45510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2024-08-06T11:02:48Z</dcterms:created>
  <dcterms:modified xmlns:dcterms="http://purl.org/dc/terms/" xmlns:xsi="http://www.w3.org/2001/XMLSchema-instance" xsi:type="dcterms:W3CDTF">2024-08-06T11:02:49Z</dcterms:modified>
</cp:coreProperties>
</file>