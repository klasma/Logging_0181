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45888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45888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45888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45888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45888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45888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45888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14771-2022</t>
        </is>
      </c>
      <c r="B9" s="1" t="n">
        <v>44656</v>
      </c>
      <c r="C9" s="1" t="n">
        <v>45888</v>
      </c>
      <c r="D9" t="inlineStr">
        <is>
          <t>STOCKHOLMS LÄN</t>
        </is>
      </c>
      <c r="E9" t="inlineStr">
        <is>
          <t>SÖDERTÄLJE</t>
        </is>
      </c>
      <c r="G9" t="n">
        <v>3.8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Grönpyrola
Vanlig groda
Vanlig padda
Revlummer</t>
        </is>
      </c>
      <c r="S9">
        <f>HYPERLINK("https://klasma.github.io/Logging_0181/artfynd/A 14771-2022 artfynd.xlsx", "A 14771-2022")</f>
        <v/>
      </c>
      <c r="T9">
        <f>HYPERLINK("https://klasma.github.io/Logging_0181/kartor/A 14771-2022 karta.png", "A 14771-2022")</f>
        <v/>
      </c>
      <c r="V9">
        <f>HYPERLINK("https://klasma.github.io/Logging_0181/klagomål/A 14771-2022 FSC-klagomål.docx", "A 14771-2022")</f>
        <v/>
      </c>
      <c r="W9">
        <f>HYPERLINK("https://klasma.github.io/Logging_0181/klagomålsmail/A 14771-2022 FSC-klagomål mail.docx", "A 14771-2022")</f>
        <v/>
      </c>
      <c r="X9">
        <f>HYPERLINK("https://klasma.github.io/Logging_0181/tillsyn/A 14771-2022 tillsynsbegäran.docx", "A 14771-2022")</f>
        <v/>
      </c>
      <c r="Y9">
        <f>HYPERLINK("https://klasma.github.io/Logging_0181/tillsynsmail/A 14771-2022 tillsynsbegäran mail.docx", "A 14771-2022")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45888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45888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45888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43525-2023</t>
        </is>
      </c>
      <c r="B13" s="1" t="n">
        <v>45184</v>
      </c>
      <c r="C13" s="1" t="n">
        <v>45888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Slåtterfibbla
Fläcknycklar</t>
        </is>
      </c>
      <c r="S13">
        <f>HYPERLINK("https://klasma.github.io/Logging_0181/artfynd/A 43525-2023 artfynd.xlsx", "A 43525-2023")</f>
        <v/>
      </c>
      <c r="T13">
        <f>HYPERLINK("https://klasma.github.io/Logging_0181/kartor/A 43525-2023 karta.png", "A 43525-2023")</f>
        <v/>
      </c>
      <c r="V13">
        <f>HYPERLINK("https://klasma.github.io/Logging_0181/klagomål/A 43525-2023 FSC-klagomål.docx", "A 43525-2023")</f>
        <v/>
      </c>
      <c r="W13">
        <f>HYPERLINK("https://klasma.github.io/Logging_0181/klagomålsmail/A 43525-2023 FSC-klagomål mail.docx", "A 43525-2023")</f>
        <v/>
      </c>
      <c r="X13">
        <f>HYPERLINK("https://klasma.github.io/Logging_0181/tillsyn/A 43525-2023 tillsynsbegäran.docx", "A 43525-2023")</f>
        <v/>
      </c>
      <c r="Y13">
        <f>HYPERLINK("https://klasma.github.io/Logging_0181/tillsynsmail/A 43525-2023 tillsynsbegäran mail.docx", "A 43525-2023")</f>
        <v/>
      </c>
    </row>
    <row r="14" ht="15" customHeight="1">
      <c r="A14" t="inlineStr">
        <is>
          <t>A 66734-2021</t>
        </is>
      </c>
      <c r="B14" s="1" t="n">
        <v>44520</v>
      </c>
      <c r="C14" s="1" t="n">
        <v>45888</v>
      </c>
      <c r="D14" t="inlineStr">
        <is>
          <t>STOCKHOLMS LÄN</t>
        </is>
      </c>
      <c r="E14" t="inlineStr">
        <is>
          <t>SÖDERTÄLJE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Skarp dropptaggsvamp
Svavelriska</t>
        </is>
      </c>
      <c r="S14">
        <f>HYPERLINK("https://klasma.github.io/Logging_0181/artfynd/A 66734-2021 artfynd.xlsx", "A 66734-2021")</f>
        <v/>
      </c>
      <c r="T14">
        <f>HYPERLINK("https://klasma.github.io/Logging_0181/kartor/A 66734-2021 karta.png", "A 66734-2021")</f>
        <v/>
      </c>
      <c r="V14">
        <f>HYPERLINK("https://klasma.github.io/Logging_0181/klagomål/A 66734-2021 FSC-klagomål.docx", "A 66734-2021")</f>
        <v/>
      </c>
      <c r="W14">
        <f>HYPERLINK("https://klasma.github.io/Logging_0181/klagomålsmail/A 66734-2021 FSC-klagomål mail.docx", "A 66734-2021")</f>
        <v/>
      </c>
      <c r="X14">
        <f>HYPERLINK("https://klasma.github.io/Logging_0181/tillsyn/A 66734-2021 tillsynsbegäran.docx", "A 66734-2021")</f>
        <v/>
      </c>
      <c r="Y14">
        <f>HYPERLINK("https://klasma.github.io/Logging_0181/tillsynsmail/A 66734-2021 tillsynsbegäran mail.docx", "A 66734-2021")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45888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36854-2025</t>
        </is>
      </c>
      <c r="B16" s="1" t="n">
        <v>45874.40010416666</v>
      </c>
      <c r="C16" s="1" t="n">
        <v>45888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2.4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HYPERLINK("https://klasma.github.io/Logging_0181/artfynd/A 36854-2025 artfynd.xlsx", "A 36854-2025")</f>
        <v/>
      </c>
      <c r="T16">
        <f>HYPERLINK("https://klasma.github.io/Logging_0181/kartor/A 36854-2025 karta.png", "A 36854-2025")</f>
        <v/>
      </c>
      <c r="V16">
        <f>HYPERLINK("https://klasma.github.io/Logging_0181/klagomål/A 36854-2025 FSC-klagomål.docx", "A 36854-2025")</f>
        <v/>
      </c>
      <c r="W16">
        <f>HYPERLINK("https://klasma.github.io/Logging_0181/klagomålsmail/A 36854-2025 FSC-klagomål mail.docx", "A 36854-2025")</f>
        <v/>
      </c>
      <c r="X16">
        <f>HYPERLINK("https://klasma.github.io/Logging_0181/tillsyn/A 36854-2025 tillsynsbegäran.docx", "A 36854-2025")</f>
        <v/>
      </c>
      <c r="Y16">
        <f>HYPERLINK("https://klasma.github.io/Logging_0181/tillsynsmail/A 36854-2025 tillsynsbegäran mail.docx", "A 36854-2025")</f>
        <v/>
      </c>
      <c r="Z16">
        <f>HYPERLINK("https://klasma.github.io/Logging_0181/fåglar/A 36854-2025 prioriterade fågelarter.docx", "A 36854-2025")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45888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45888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45888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45888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45888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8.4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Tjockfotad fingersvamp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12968-2024</t>
        </is>
      </c>
      <c r="B22" s="1" t="n">
        <v>45385.50599537037</v>
      </c>
      <c r="C22" s="1" t="n">
        <v>45888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HYPERLINK("https://klasma.github.io/Logging_0181/artfynd/A 12968-2024 artfynd.xlsx", "A 12968-2024")</f>
        <v/>
      </c>
      <c r="T22">
        <f>HYPERLINK("https://klasma.github.io/Logging_0181/kartor/A 12968-2024 karta.png", "A 12968-2024")</f>
        <v/>
      </c>
      <c r="V22">
        <f>HYPERLINK("https://klasma.github.io/Logging_0181/klagomål/A 12968-2024 FSC-klagomål.docx", "A 12968-2024")</f>
        <v/>
      </c>
      <c r="W22">
        <f>HYPERLINK("https://klasma.github.io/Logging_0181/klagomålsmail/A 12968-2024 FSC-klagomål mail.docx", "A 12968-2024")</f>
        <v/>
      </c>
      <c r="X22">
        <f>HYPERLINK("https://klasma.github.io/Logging_0181/tillsyn/A 12968-2024 tillsynsbegäran.docx", "A 12968-2024")</f>
        <v/>
      </c>
      <c r="Y22">
        <f>HYPERLINK("https://klasma.github.io/Logging_0181/tillsynsmail/A 12968-2024 tillsynsbegäran mail.docx", "A 12968-2024")</f>
        <v/>
      </c>
    </row>
    <row r="23" ht="15" customHeight="1">
      <c r="A23" t="inlineStr">
        <is>
          <t>A 55263-2021</t>
        </is>
      </c>
      <c r="B23" s="1" t="n">
        <v>44475</v>
      </c>
      <c r="C23" s="1" t="n">
        <v>45888</v>
      </c>
      <c r="D23" t="inlineStr">
        <is>
          <t>STOCKHOLMS LÄN</t>
        </is>
      </c>
      <c r="E23" t="inlineStr">
        <is>
          <t>SÖDERTÄLJE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Backklöver</t>
        </is>
      </c>
      <c r="S23">
        <f>HYPERLINK("https://klasma.github.io/Logging_0181/artfynd/A 55263-2021 artfynd.xlsx", "A 55263-2021")</f>
        <v/>
      </c>
      <c r="T23">
        <f>HYPERLINK("https://klasma.github.io/Logging_0181/kartor/A 55263-2021 karta.png", "A 55263-2021")</f>
        <v/>
      </c>
      <c r="V23">
        <f>HYPERLINK("https://klasma.github.io/Logging_0181/klagomål/A 55263-2021 FSC-klagomål.docx", "A 55263-2021")</f>
        <v/>
      </c>
      <c r="W23">
        <f>HYPERLINK("https://klasma.github.io/Logging_0181/klagomålsmail/A 55263-2021 FSC-klagomål mail.docx", "A 55263-2021")</f>
        <v/>
      </c>
      <c r="X23">
        <f>HYPERLINK("https://klasma.github.io/Logging_0181/tillsyn/A 55263-2021 tillsynsbegäran.docx", "A 55263-2021")</f>
        <v/>
      </c>
      <c r="Y23">
        <f>HYPERLINK("https://klasma.github.io/Logging_0181/tillsynsmail/A 55263-2021 tillsynsbegäran mail.docx", "A 55263-2021")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45888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23772-2025</t>
        </is>
      </c>
      <c r="B25" s="1" t="n">
        <v>45793.48637731482</v>
      </c>
      <c r="C25" s="1" t="n">
        <v>45888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Rödvingetrast</t>
        </is>
      </c>
      <c r="S25">
        <f>HYPERLINK("https://klasma.github.io/Logging_0181/artfynd/A 23772-2025 artfynd.xlsx", "A 23772-2025")</f>
        <v/>
      </c>
      <c r="T25">
        <f>HYPERLINK("https://klasma.github.io/Logging_0181/kartor/A 23772-2025 karta.png", "A 23772-2025")</f>
        <v/>
      </c>
      <c r="V25">
        <f>HYPERLINK("https://klasma.github.io/Logging_0181/klagomål/A 23772-2025 FSC-klagomål.docx", "A 23772-2025")</f>
        <v/>
      </c>
      <c r="W25">
        <f>HYPERLINK("https://klasma.github.io/Logging_0181/klagomålsmail/A 23772-2025 FSC-klagomål mail.docx", "A 23772-2025")</f>
        <v/>
      </c>
      <c r="X25">
        <f>HYPERLINK("https://klasma.github.io/Logging_0181/tillsyn/A 23772-2025 tillsynsbegäran.docx", "A 23772-2025")</f>
        <v/>
      </c>
      <c r="Y25">
        <f>HYPERLINK("https://klasma.github.io/Logging_0181/tillsynsmail/A 23772-2025 tillsynsbegäran mail.docx", "A 23772-2025")</f>
        <v/>
      </c>
      <c r="Z25">
        <f>HYPERLINK("https://klasma.github.io/Logging_0181/fåglar/A 23772-2025 prioriterade fågelarter.docx", "A 23772-2025")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45888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45888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45888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45888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45888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45888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45888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45888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14.4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19793-2024</t>
        </is>
      </c>
      <c r="B34" s="1" t="n">
        <v>45432</v>
      </c>
      <c r="C34" s="1" t="n">
        <v>45888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Aktiebolag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HYPERLINK("https://klasma.github.io/Logging_0181/artfynd/A 19793-2024 artfynd.xlsx", "A 19793-2024")</f>
        <v/>
      </c>
      <c r="T34">
        <f>HYPERLINK("https://klasma.github.io/Logging_0181/kartor/A 19793-2024 karta.png", "A 19793-2024")</f>
        <v/>
      </c>
      <c r="V34">
        <f>HYPERLINK("https://klasma.github.io/Logging_0181/klagomål/A 19793-2024 FSC-klagomål.docx", "A 19793-2024")</f>
        <v/>
      </c>
      <c r="W34">
        <f>HYPERLINK("https://klasma.github.io/Logging_0181/klagomålsmail/A 19793-2024 FSC-klagomål mail.docx", "A 19793-2024")</f>
        <v/>
      </c>
      <c r="X34">
        <f>HYPERLINK("https://klasma.github.io/Logging_0181/tillsyn/A 19793-2024 tillsynsbegäran.docx", "A 19793-2024")</f>
        <v/>
      </c>
      <c r="Y34">
        <f>HYPERLINK("https://klasma.github.io/Logging_0181/tillsynsmail/A 19793-2024 tillsynsbegäran mail.docx", "A 19793-2024")</f>
        <v/>
      </c>
    </row>
    <row r="35" ht="15" customHeight="1">
      <c r="A35" t="inlineStr">
        <is>
          <t>A 11126-2021</t>
        </is>
      </c>
      <c r="B35" s="1" t="n">
        <v>44260</v>
      </c>
      <c r="C35" s="1" t="n">
        <v>45888</v>
      </c>
      <c r="D35" t="inlineStr">
        <is>
          <t>STOCKHOLMS LÄN</t>
        </is>
      </c>
      <c r="E35" t="inlineStr">
        <is>
          <t>SÖDERTÄLJE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40751-2021</t>
        </is>
      </c>
      <c r="B36" s="1" t="n">
        <v>44420</v>
      </c>
      <c r="C36" s="1" t="n">
        <v>45888</v>
      </c>
      <c r="D36" t="inlineStr">
        <is>
          <t>STOCKHOLMS LÄN</t>
        </is>
      </c>
      <c r="E36" t="inlineStr">
        <is>
          <t>SÖDERTÄLJE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45888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45888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45888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45888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45888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45888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45888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45888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45888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45888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45888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45888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45888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45888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45888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45888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45888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45888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45888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45888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46688-2021</t>
        </is>
      </c>
      <c r="B57" s="1" t="n">
        <v>44445.63403935185</v>
      </c>
      <c r="C57" s="1" t="n">
        <v>45888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31429-2022</t>
        </is>
      </c>
      <c r="B58" s="1" t="n">
        <v>44774.85231481482</v>
      </c>
      <c r="C58" s="1" t="n">
        <v>45888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51482-2021</t>
        </is>
      </c>
      <c r="B59" s="1" t="n">
        <v>44460</v>
      </c>
      <c r="C59" s="1" t="n">
        <v>45888</v>
      </c>
      <c r="D59" t="inlineStr">
        <is>
          <t>STOCKHOLMS LÄN</t>
        </is>
      </c>
      <c r="E59" t="inlineStr">
        <is>
          <t>SÖDERTÄLJE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45888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3585-2022</t>
        </is>
      </c>
      <c r="B61" s="1" t="n">
        <v>44586</v>
      </c>
      <c r="C61" s="1" t="n">
        <v>45888</v>
      </c>
      <c r="D61" t="inlineStr">
        <is>
          <t>STOCKHOLMS LÄN</t>
        </is>
      </c>
      <c r="E61" t="inlineStr">
        <is>
          <t>SÖDERTÄLJE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20091-2025</t>
        </is>
      </c>
      <c r="B62" s="1" t="n">
        <v>45771</v>
      </c>
      <c r="C62" s="1" t="n">
        <v>45888</v>
      </c>
      <c r="D62" t="inlineStr">
        <is>
          <t>STOCKHOLMS LÄN</t>
        </is>
      </c>
      <c r="E62" t="inlineStr">
        <is>
          <t>SÖDERTÄLJE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2529-2023</t>
        </is>
      </c>
      <c r="B63" s="1" t="n">
        <v>44943.60554398148</v>
      </c>
      <c r="C63" s="1" t="n">
        <v>45888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58928-2022</t>
        </is>
      </c>
      <c r="B64" s="1" t="n">
        <v>44903</v>
      </c>
      <c r="C64" s="1" t="n">
        <v>45888</v>
      </c>
      <c r="D64" t="inlineStr">
        <is>
          <t>STOCKHOLMS LÄN</t>
        </is>
      </c>
      <c r="E64" t="inlineStr">
        <is>
          <t>SÖDERTÄLJE</t>
        </is>
      </c>
      <c r="F64" t="inlineStr">
        <is>
          <t>Kommuner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62311-2023</t>
        </is>
      </c>
      <c r="B65" s="1" t="n">
        <v>45266</v>
      </c>
      <c r="C65" s="1" t="n">
        <v>45888</v>
      </c>
      <c r="D65" t="inlineStr">
        <is>
          <t>STOCKHOLMS LÄN</t>
        </is>
      </c>
      <c r="E65" t="inlineStr">
        <is>
          <t>SÖDERTÄLJE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31212-2024</t>
        </is>
      </c>
      <c r="B66" s="1" t="n">
        <v>45503</v>
      </c>
      <c r="C66" s="1" t="n">
        <v>45888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58140-2023</t>
        </is>
      </c>
      <c r="B67" s="1" t="n">
        <v>45250</v>
      </c>
      <c r="C67" s="1" t="n">
        <v>45888</v>
      </c>
      <c r="D67" t="inlineStr">
        <is>
          <t>STOCKHOLMS LÄN</t>
        </is>
      </c>
      <c r="E67" t="inlineStr">
        <is>
          <t>SÖDERTÄLJE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43237-2020</t>
        </is>
      </c>
      <c r="B68" s="1" t="n">
        <v>44076</v>
      </c>
      <c r="C68" s="1" t="n">
        <v>45888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51087-2023</t>
        </is>
      </c>
      <c r="B69" s="1" t="n">
        <v>45218.73296296296</v>
      </c>
      <c r="C69" s="1" t="n">
        <v>45888</v>
      </c>
      <c r="D69" t="inlineStr">
        <is>
          <t>STOCKHOLMS LÄN</t>
        </is>
      </c>
      <c r="E69" t="inlineStr">
        <is>
          <t>SÖDERTÄLJE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36112-2022</t>
        </is>
      </c>
      <c r="B70" s="1" t="n">
        <v>44802</v>
      </c>
      <c r="C70" s="1" t="n">
        <v>45888</v>
      </c>
      <c r="D70" t="inlineStr">
        <is>
          <t>STOCKHOLMS LÄN</t>
        </is>
      </c>
      <c r="E70" t="inlineStr">
        <is>
          <t>SÖDERTÄLJE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37536-2024</t>
        </is>
      </c>
      <c r="B71" s="1" t="n">
        <v>45541</v>
      </c>
      <c r="C71" s="1" t="n">
        <v>45888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314-2022</t>
        </is>
      </c>
      <c r="B72" s="1" t="n">
        <v>44564</v>
      </c>
      <c r="C72" s="1" t="n">
        <v>45888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27971-2022</t>
        </is>
      </c>
      <c r="B73" s="1" t="n">
        <v>44744</v>
      </c>
      <c r="C73" s="1" t="n">
        <v>45888</v>
      </c>
      <c r="D73" t="inlineStr">
        <is>
          <t>STOCKHOLMS LÄN</t>
        </is>
      </c>
      <c r="E73" t="inlineStr">
        <is>
          <t>SÖDERTÄLJE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487-2024</t>
        </is>
      </c>
      <c r="B74" s="1" t="n">
        <v>45298.85216435185</v>
      </c>
      <c r="C74" s="1" t="n">
        <v>45888</v>
      </c>
      <c r="D74" t="inlineStr">
        <is>
          <t>STOCKHOLMS LÄN</t>
        </is>
      </c>
      <c r="E74" t="inlineStr">
        <is>
          <t>SÖDERTÄLJE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45888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45888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35113-2023</t>
        </is>
      </c>
      <c r="B77" s="1" t="n">
        <v>45145</v>
      </c>
      <c r="C77" s="1" t="n">
        <v>45888</v>
      </c>
      <c r="D77" t="inlineStr">
        <is>
          <t>STOCKHOLMS LÄN</t>
        </is>
      </c>
      <c r="E77" t="inlineStr">
        <is>
          <t>SÖDERTÄLJE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16520-2025</t>
        </is>
      </c>
      <c r="B78" s="1" t="n">
        <v>45751.63434027778</v>
      </c>
      <c r="C78" s="1" t="n">
        <v>45888</v>
      </c>
      <c r="D78" t="inlineStr">
        <is>
          <t>STOCKHOLMS LÄN</t>
        </is>
      </c>
      <c r="E78" t="inlineStr">
        <is>
          <t>SÖDERTÄLJE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47576-2023</t>
        </is>
      </c>
      <c r="B79" s="1" t="n">
        <v>45197</v>
      </c>
      <c r="C79" s="1" t="n">
        <v>45888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34449-2021</t>
        </is>
      </c>
      <c r="B80" s="1" t="n">
        <v>44381.63587962963</v>
      </c>
      <c r="C80" s="1" t="n">
        <v>45888</v>
      </c>
      <c r="D80" t="inlineStr">
        <is>
          <t>STOCKHOLMS LÄN</t>
        </is>
      </c>
      <c r="E80" t="inlineStr">
        <is>
          <t>SÖDERTÄLJE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35906-2022</t>
        </is>
      </c>
      <c r="B81" s="1" t="n">
        <v>44802</v>
      </c>
      <c r="C81" s="1" t="n">
        <v>45888</v>
      </c>
      <c r="D81" t="inlineStr">
        <is>
          <t>STOCKHOLMS LÄN</t>
        </is>
      </c>
      <c r="E81" t="inlineStr">
        <is>
          <t>SÖDERTÄLJE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55464-2020</t>
        </is>
      </c>
      <c r="B82" s="1" t="n">
        <v>44130</v>
      </c>
      <c r="C82" s="1" t="n">
        <v>45888</v>
      </c>
      <c r="D82" t="inlineStr">
        <is>
          <t>STOCKHOLMS LÄN</t>
        </is>
      </c>
      <c r="E82" t="inlineStr">
        <is>
          <t>SÖDERTÄLJE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34450-2021</t>
        </is>
      </c>
      <c r="B83" s="1" t="n">
        <v>44381</v>
      </c>
      <c r="C83" s="1" t="n">
        <v>45888</v>
      </c>
      <c r="D83" t="inlineStr">
        <is>
          <t>STOCKHOLMS LÄN</t>
        </is>
      </c>
      <c r="E83" t="inlineStr">
        <is>
          <t>SÖDERTÄLJE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52815-2023</t>
        </is>
      </c>
      <c r="B84" s="1" t="n">
        <v>45226</v>
      </c>
      <c r="C84" s="1" t="n">
        <v>45888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45888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9891-2025</t>
        </is>
      </c>
      <c r="B86" s="1" t="n">
        <v>45716.70479166666</v>
      </c>
      <c r="C86" s="1" t="n">
        <v>45888</v>
      </c>
      <c r="D86" t="inlineStr">
        <is>
          <t>STOCKHOLMS LÄN</t>
        </is>
      </c>
      <c r="E86" t="inlineStr">
        <is>
          <t>SÖDERTÄLJE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11319-2024</t>
        </is>
      </c>
      <c r="B87" s="1" t="n">
        <v>45371.91613425926</v>
      </c>
      <c r="C87" s="1" t="n">
        <v>45888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21726-2025</t>
        </is>
      </c>
      <c r="B88" s="1" t="n">
        <v>45783.56921296296</v>
      </c>
      <c r="C88" s="1" t="n">
        <v>45888</v>
      </c>
      <c r="D88" t="inlineStr">
        <is>
          <t>STOCKHOLMS LÄN</t>
        </is>
      </c>
      <c r="E88" t="inlineStr">
        <is>
          <t>SÖDERTÄLJE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46671-2021</t>
        </is>
      </c>
      <c r="B89" s="1" t="n">
        <v>44445</v>
      </c>
      <c r="C89" s="1" t="n">
        <v>45888</v>
      </c>
      <c r="D89" t="inlineStr">
        <is>
          <t>STOCKHOLMS LÄN</t>
        </is>
      </c>
      <c r="E89" t="inlineStr">
        <is>
          <t>SÖDERTÄLJE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57010-2024</t>
        </is>
      </c>
      <c r="B90" s="1" t="n">
        <v>45628</v>
      </c>
      <c r="C90" s="1" t="n">
        <v>45888</v>
      </c>
      <c r="D90" t="inlineStr">
        <is>
          <t>STOCKHOLMS LÄN</t>
        </is>
      </c>
      <c r="E90" t="inlineStr">
        <is>
          <t>SÖDERTÄLJE</t>
        </is>
      </c>
      <c r="F90" t="inlineStr">
        <is>
          <t>Kyrkan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56349-2023</t>
        </is>
      </c>
      <c r="B91" s="1" t="n">
        <v>45243</v>
      </c>
      <c r="C91" s="1" t="n">
        <v>45888</v>
      </c>
      <c r="D91" t="inlineStr">
        <is>
          <t>STOCKHOLMS LÄN</t>
        </is>
      </c>
      <c r="E91" t="inlineStr">
        <is>
          <t>SÖDERTÄLJE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41111-2023</t>
        </is>
      </c>
      <c r="B92" s="1" t="n">
        <v>45173.74025462963</v>
      </c>
      <c r="C92" s="1" t="n">
        <v>45888</v>
      </c>
      <c r="D92" t="inlineStr">
        <is>
          <t>STOCKHOLMS LÄN</t>
        </is>
      </c>
      <c r="E92" t="inlineStr">
        <is>
          <t>SÖDERTÄLJE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41115-2023</t>
        </is>
      </c>
      <c r="B93" s="1" t="n">
        <v>45173</v>
      </c>
      <c r="C93" s="1" t="n">
        <v>45888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45888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3382-2024</t>
        </is>
      </c>
      <c r="B95" s="1" t="n">
        <v>45317</v>
      </c>
      <c r="C95" s="1" t="n">
        <v>45888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27969-2022</t>
        </is>
      </c>
      <c r="B96" s="1" t="n">
        <v>44744</v>
      </c>
      <c r="C96" s="1" t="n">
        <v>45888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35145-2023</t>
        </is>
      </c>
      <c r="B97" s="1" t="n">
        <v>45145</v>
      </c>
      <c r="C97" s="1" t="n">
        <v>45888</v>
      </c>
      <c r="D97" t="inlineStr">
        <is>
          <t>STOCKHOLMS LÄN</t>
        </is>
      </c>
      <c r="E97" t="inlineStr">
        <is>
          <t>SÖDERTÄLJE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60635-2024</t>
        </is>
      </c>
      <c r="B98" s="1" t="n">
        <v>45644.41744212963</v>
      </c>
      <c r="C98" s="1" t="n">
        <v>45888</v>
      </c>
      <c r="D98" t="inlineStr">
        <is>
          <t>STOCKHOLMS LÄN</t>
        </is>
      </c>
      <c r="E98" t="inlineStr">
        <is>
          <t>SÖDERTÄLJE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33892-2022</t>
        </is>
      </c>
      <c r="B99" s="1" t="n">
        <v>44790.60921296296</v>
      </c>
      <c r="C99" s="1" t="n">
        <v>45888</v>
      </c>
      <c r="D99" t="inlineStr">
        <is>
          <t>STOCKHOLMS LÄN</t>
        </is>
      </c>
      <c r="E99" t="inlineStr">
        <is>
          <t>SÖDERTÄLJE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47977-2022</t>
        </is>
      </c>
      <c r="B100" s="1" t="n">
        <v>44855</v>
      </c>
      <c r="C100" s="1" t="n">
        <v>45888</v>
      </c>
      <c r="D100" t="inlineStr">
        <is>
          <t>STOCKHOLMS LÄN</t>
        </is>
      </c>
      <c r="E100" t="inlineStr">
        <is>
          <t>SÖDERTÄLJE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44577-2020</t>
        </is>
      </c>
      <c r="B101" s="1" t="n">
        <v>44085</v>
      </c>
      <c r="C101" s="1" t="n">
        <v>45888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17979-2024</t>
        </is>
      </c>
      <c r="B102" s="1" t="n">
        <v>45419.86915509259</v>
      </c>
      <c r="C102" s="1" t="n">
        <v>45888</v>
      </c>
      <c r="D102" t="inlineStr">
        <is>
          <t>STOCKHOLMS LÄN</t>
        </is>
      </c>
      <c r="E102" t="inlineStr">
        <is>
          <t>SÖDERTÄLJE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19210-2024</t>
        </is>
      </c>
      <c r="B103" s="1" t="n">
        <v>45428.54665509259</v>
      </c>
      <c r="C103" s="1" t="n">
        <v>45888</v>
      </c>
      <c r="D103" t="inlineStr">
        <is>
          <t>STOCKHOLMS LÄN</t>
        </is>
      </c>
      <c r="E103" t="inlineStr">
        <is>
          <t>SÖDERTÄLJE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27058-2024</t>
        </is>
      </c>
      <c r="B104" s="1" t="n">
        <v>45471</v>
      </c>
      <c r="C104" s="1" t="n">
        <v>45888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Kommuner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10263-2025</t>
        </is>
      </c>
      <c r="B105" s="1" t="n">
        <v>45720.38165509259</v>
      </c>
      <c r="C105" s="1" t="n">
        <v>45888</v>
      </c>
      <c r="D105" t="inlineStr">
        <is>
          <t>STOCKHOLMS LÄN</t>
        </is>
      </c>
      <c r="E105" t="inlineStr">
        <is>
          <t>SÖDERTÄLJE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10277-2025</t>
        </is>
      </c>
      <c r="B106" s="1" t="n">
        <v>45720.39836805555</v>
      </c>
      <c r="C106" s="1" t="n">
        <v>45888</v>
      </c>
      <c r="D106" t="inlineStr">
        <is>
          <t>STOCKHOLMS LÄN</t>
        </is>
      </c>
      <c r="E106" t="inlineStr">
        <is>
          <t>SÖDERTÄLJE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28981-2023</t>
        </is>
      </c>
      <c r="B107" s="1" t="n">
        <v>45104</v>
      </c>
      <c r="C107" s="1" t="n">
        <v>45888</v>
      </c>
      <c r="D107" t="inlineStr">
        <is>
          <t>STOCKHOLMS LÄN</t>
        </is>
      </c>
      <c r="E107" t="inlineStr">
        <is>
          <t>SÖDERTÄLJE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62311-2023</t>
        </is>
      </c>
      <c r="B108" s="1" t="n">
        <v>45266</v>
      </c>
      <c r="C108" s="1" t="n">
        <v>45888</v>
      </c>
      <c r="D108" t="inlineStr">
        <is>
          <t>STOCKHOLMS LÄN</t>
        </is>
      </c>
      <c r="E108" t="inlineStr">
        <is>
          <t>SÖDERTÄLJE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25706-2023</t>
        </is>
      </c>
      <c r="B109" s="1" t="n">
        <v>45090</v>
      </c>
      <c r="C109" s="1" t="n">
        <v>45888</v>
      </c>
      <c r="D109" t="inlineStr">
        <is>
          <t>STOCKHOLMS LÄN</t>
        </is>
      </c>
      <c r="E109" t="inlineStr">
        <is>
          <t>SÖDERTÄLJE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22-2024</t>
        </is>
      </c>
      <c r="B110" s="1" t="n">
        <v>45293.40865740741</v>
      </c>
      <c r="C110" s="1" t="n">
        <v>45888</v>
      </c>
      <c r="D110" t="inlineStr">
        <is>
          <t>STOCKHOLMS LÄN</t>
        </is>
      </c>
      <c r="E110" t="inlineStr">
        <is>
          <t>SÖDERTÄLJE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16615-2024</t>
        </is>
      </c>
      <c r="B111" s="1" t="n">
        <v>45408</v>
      </c>
      <c r="C111" s="1" t="n">
        <v>45888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95-2024</t>
        </is>
      </c>
      <c r="B112" s="1" t="n">
        <v>45293</v>
      </c>
      <c r="C112" s="1" t="n">
        <v>45888</v>
      </c>
      <c r="D112" t="inlineStr">
        <is>
          <t>STOCKHOLMS LÄN</t>
        </is>
      </c>
      <c r="E112" t="inlineStr">
        <is>
          <t>SÖDERTÄLJE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49938-2020</t>
        </is>
      </c>
      <c r="B113" s="1" t="n">
        <v>44109</v>
      </c>
      <c r="C113" s="1" t="n">
        <v>45888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26902-2024</t>
        </is>
      </c>
      <c r="B114" s="1" t="n">
        <v>45470</v>
      </c>
      <c r="C114" s="1" t="n">
        <v>45888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49956-2022</t>
        </is>
      </c>
      <c r="B115" s="1" t="n">
        <v>44865.37130787037</v>
      </c>
      <c r="C115" s="1" t="n">
        <v>45888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6157-2025</t>
        </is>
      </c>
      <c r="B116" s="1" t="n">
        <v>45698.40923611111</v>
      </c>
      <c r="C116" s="1" t="n">
        <v>45888</v>
      </c>
      <c r="D116" t="inlineStr">
        <is>
          <t>STOCKHOLMS LÄN</t>
        </is>
      </c>
      <c r="E116" t="inlineStr">
        <is>
          <t>SÖDERTÄLJE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11343-2025</t>
        </is>
      </c>
      <c r="B117" s="1" t="n">
        <v>45726.49932870371</v>
      </c>
      <c r="C117" s="1" t="n">
        <v>45888</v>
      </c>
      <c r="D117" t="inlineStr">
        <is>
          <t>STOCKHOLMS LÄN</t>
        </is>
      </c>
      <c r="E117" t="inlineStr">
        <is>
          <t>SÖDERTÄLJE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52101-2022</t>
        </is>
      </c>
      <c r="B118" s="1" t="n">
        <v>44873</v>
      </c>
      <c r="C118" s="1" t="n">
        <v>45888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51353-2024</t>
        </is>
      </c>
      <c r="B119" s="1" t="n">
        <v>45604.36140046296</v>
      </c>
      <c r="C119" s="1" t="n">
        <v>45888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54596-2024</t>
        </is>
      </c>
      <c r="B120" s="1" t="n">
        <v>45617.6762037037</v>
      </c>
      <c r="C120" s="1" t="n">
        <v>45888</v>
      </c>
      <c r="D120" t="inlineStr">
        <is>
          <t>STOCKHOLMS LÄN</t>
        </is>
      </c>
      <c r="E120" t="inlineStr">
        <is>
          <t>SÖDERTÄLJE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42133-2023</t>
        </is>
      </c>
      <c r="B121" s="1" t="n">
        <v>45177.83136574074</v>
      </c>
      <c r="C121" s="1" t="n">
        <v>45888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37844-2022</t>
        </is>
      </c>
      <c r="B122" s="1" t="n">
        <v>44810</v>
      </c>
      <c r="C122" s="1" t="n">
        <v>45888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16724-2022</t>
        </is>
      </c>
      <c r="B123" s="1" t="n">
        <v>44673</v>
      </c>
      <c r="C123" s="1" t="n">
        <v>45888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Övriga statliga verk och myndigheter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10280-2025</t>
        </is>
      </c>
      <c r="B124" s="1" t="n">
        <v>45720.40354166667</v>
      </c>
      <c r="C124" s="1" t="n">
        <v>45888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45145-2022</t>
        </is>
      </c>
      <c r="B125" s="1" t="n">
        <v>44844</v>
      </c>
      <c r="C125" s="1" t="n">
        <v>45888</v>
      </c>
      <c r="D125" t="inlineStr">
        <is>
          <t>STOCKHOLMS LÄN</t>
        </is>
      </c>
      <c r="E125" t="inlineStr">
        <is>
          <t>SÖDERTÄLJE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36886-2023</t>
        </is>
      </c>
      <c r="B126" s="1" t="n">
        <v>45154</v>
      </c>
      <c r="C126" s="1" t="n">
        <v>45888</v>
      </c>
      <c r="D126" t="inlineStr">
        <is>
          <t>STOCKHOLMS LÄN</t>
        </is>
      </c>
      <c r="E126" t="inlineStr">
        <is>
          <t>SÖDERTÄLJE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51082-2024</t>
        </is>
      </c>
      <c r="B127" s="1" t="n">
        <v>45603.46126157408</v>
      </c>
      <c r="C127" s="1" t="n">
        <v>45888</v>
      </c>
      <c r="D127" t="inlineStr">
        <is>
          <t>STOCKHOLMS LÄN</t>
        </is>
      </c>
      <c r="E127" t="inlineStr">
        <is>
          <t>SÖDERTÄLJE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25414-2025</t>
        </is>
      </c>
      <c r="B128" s="1" t="n">
        <v>45799</v>
      </c>
      <c r="C128" s="1" t="n">
        <v>45888</v>
      </c>
      <c r="D128" t="inlineStr">
        <is>
          <t>STOCKHOLMS LÄN</t>
        </is>
      </c>
      <c r="E128" t="inlineStr">
        <is>
          <t>SÖDERTÄLJE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25396-2025</t>
        </is>
      </c>
      <c r="B129" s="1" t="n">
        <v>45799</v>
      </c>
      <c r="C129" s="1" t="n">
        <v>45888</v>
      </c>
      <c r="D129" t="inlineStr">
        <is>
          <t>STOCKHOLMS LÄN</t>
        </is>
      </c>
      <c r="E129" t="inlineStr">
        <is>
          <t>SÖDERTÄLJE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25412-2025</t>
        </is>
      </c>
      <c r="B130" s="1" t="n">
        <v>45799</v>
      </c>
      <c r="C130" s="1" t="n">
        <v>45888</v>
      </c>
      <c r="D130" t="inlineStr">
        <is>
          <t>STOCKHOLMS LÄN</t>
        </is>
      </c>
      <c r="E130" t="inlineStr">
        <is>
          <t>SÖDERTÄLJE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25415-2025</t>
        </is>
      </c>
      <c r="B131" s="1" t="n">
        <v>45799</v>
      </c>
      <c r="C131" s="1" t="n">
        <v>45888</v>
      </c>
      <c r="D131" t="inlineStr">
        <is>
          <t>STOCKHOLMS LÄN</t>
        </is>
      </c>
      <c r="E131" t="inlineStr">
        <is>
          <t>SÖDERTÄLJE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50520-2020</t>
        </is>
      </c>
      <c r="B132" s="1" t="n">
        <v>44110</v>
      </c>
      <c r="C132" s="1" t="n">
        <v>45888</v>
      </c>
      <c r="D132" t="inlineStr">
        <is>
          <t>STOCKHOLMS LÄN</t>
        </is>
      </c>
      <c r="E132" t="inlineStr">
        <is>
          <t>SÖDERTÄLJE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4443-2023</t>
        </is>
      </c>
      <c r="B133" s="1" t="n">
        <v>44956.45393518519</v>
      </c>
      <c r="C133" s="1" t="n">
        <v>45888</v>
      </c>
      <c r="D133" t="inlineStr">
        <is>
          <t>STOCKHOLMS LÄN</t>
        </is>
      </c>
      <c r="E133" t="inlineStr">
        <is>
          <t>SÖDERTÄLJE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47714-2023</t>
        </is>
      </c>
      <c r="B134" s="1" t="n">
        <v>45198</v>
      </c>
      <c r="C134" s="1" t="n">
        <v>45888</v>
      </c>
      <c r="D134" t="inlineStr">
        <is>
          <t>STOCKHOLMS LÄN</t>
        </is>
      </c>
      <c r="E134" t="inlineStr">
        <is>
          <t>SÖDERTÄLJE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42339-2024</t>
        </is>
      </c>
      <c r="B135" s="1" t="n">
        <v>45562</v>
      </c>
      <c r="C135" s="1" t="n">
        <v>45888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51026-2024</t>
        </is>
      </c>
      <c r="B136" s="1" t="n">
        <v>45603.4181712963</v>
      </c>
      <c r="C136" s="1" t="n">
        <v>45888</v>
      </c>
      <c r="D136" t="inlineStr">
        <is>
          <t>STOCKHOLMS LÄN</t>
        </is>
      </c>
      <c r="E136" t="inlineStr">
        <is>
          <t>SÖDERTÄLJE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32044-2023</t>
        </is>
      </c>
      <c r="B137" s="1" t="n">
        <v>45119</v>
      </c>
      <c r="C137" s="1" t="n">
        <v>45888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55941-2023</t>
        </is>
      </c>
      <c r="B138" s="1" t="n">
        <v>45240</v>
      </c>
      <c r="C138" s="1" t="n">
        <v>45888</v>
      </c>
      <c r="D138" t="inlineStr">
        <is>
          <t>STOCKHOLMS LÄN</t>
        </is>
      </c>
      <c r="E138" t="inlineStr">
        <is>
          <t>SÖDERTÄLJE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28982-2024</t>
        </is>
      </c>
      <c r="B139" s="1" t="n">
        <v>45481.47568287037</v>
      </c>
      <c r="C139" s="1" t="n">
        <v>45888</v>
      </c>
      <c r="D139" t="inlineStr">
        <is>
          <t>STOCKHOLMS LÄN</t>
        </is>
      </c>
      <c r="E139" t="inlineStr">
        <is>
          <t>SÖDERTÄLJE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48820-2022</t>
        </is>
      </c>
      <c r="B140" s="1" t="n">
        <v>44859</v>
      </c>
      <c r="C140" s="1" t="n">
        <v>45888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34193-2024</t>
        </is>
      </c>
      <c r="B141" s="1" t="n">
        <v>45524.46203703704</v>
      </c>
      <c r="C141" s="1" t="n">
        <v>45888</v>
      </c>
      <c r="D141" t="inlineStr">
        <is>
          <t>STOCKHOLMS LÄN</t>
        </is>
      </c>
      <c r="E141" t="inlineStr">
        <is>
          <t>SÖDERTÄLJE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92-2024</t>
        </is>
      </c>
      <c r="B142" s="1" t="n">
        <v>45293</v>
      </c>
      <c r="C142" s="1" t="n">
        <v>45888</v>
      </c>
      <c r="D142" t="inlineStr">
        <is>
          <t>STOCKHOLMS LÄN</t>
        </is>
      </c>
      <c r="E142" t="inlineStr">
        <is>
          <t>SÖDERTÄLJE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26812-2022</t>
        </is>
      </c>
      <c r="B143" s="1" t="n">
        <v>44740</v>
      </c>
      <c r="C143" s="1" t="n">
        <v>45888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62320-2023</t>
        </is>
      </c>
      <c r="B144" s="1" t="n">
        <v>45267</v>
      </c>
      <c r="C144" s="1" t="n">
        <v>45888</v>
      </c>
      <c r="D144" t="inlineStr">
        <is>
          <t>STOCKHOLMS LÄN</t>
        </is>
      </c>
      <c r="E144" t="inlineStr">
        <is>
          <t>SÖDERTÄLJE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28346-2025</t>
        </is>
      </c>
      <c r="B145" s="1" t="n">
        <v>45818.70325231482</v>
      </c>
      <c r="C145" s="1" t="n">
        <v>45888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12907-2024</t>
        </is>
      </c>
      <c r="B146" s="1" t="n">
        <v>45385</v>
      </c>
      <c r="C146" s="1" t="n">
        <v>45888</v>
      </c>
      <c r="D146" t="inlineStr">
        <is>
          <t>STOCKHOLMS LÄN</t>
        </is>
      </c>
      <c r="E146" t="inlineStr">
        <is>
          <t>SÖDERTÄLJE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26909-2024</t>
        </is>
      </c>
      <c r="B147" s="1" t="n">
        <v>45470</v>
      </c>
      <c r="C147" s="1" t="n">
        <v>45888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29336-2025</t>
        </is>
      </c>
      <c r="B148" s="1" t="n">
        <v>45824.49658564815</v>
      </c>
      <c r="C148" s="1" t="n">
        <v>45888</v>
      </c>
      <c r="D148" t="inlineStr">
        <is>
          <t>STOCKHOLMS LÄN</t>
        </is>
      </c>
      <c r="E148" t="inlineStr">
        <is>
          <t>SÖDERTÄLJE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28502-2023</t>
        </is>
      </c>
      <c r="B149" s="1" t="n">
        <v>45103</v>
      </c>
      <c r="C149" s="1" t="n">
        <v>45888</v>
      </c>
      <c r="D149" t="inlineStr">
        <is>
          <t>STOCKHOLMS LÄN</t>
        </is>
      </c>
      <c r="E149" t="inlineStr">
        <is>
          <t>SÖDERTÄLJE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29770-2025</t>
        </is>
      </c>
      <c r="B150" s="1" t="n">
        <v>45825.62880787037</v>
      </c>
      <c r="C150" s="1" t="n">
        <v>45888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9562-2025</t>
        </is>
      </c>
      <c r="B151" s="1" t="n">
        <v>45715.61215277778</v>
      </c>
      <c r="C151" s="1" t="n">
        <v>45888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8611-2023</t>
        </is>
      </c>
      <c r="B152" s="1" t="n">
        <v>44977</v>
      </c>
      <c r="C152" s="1" t="n">
        <v>45888</v>
      </c>
      <c r="D152" t="inlineStr">
        <is>
          <t>STOCKHOLMS LÄN</t>
        </is>
      </c>
      <c r="E152" t="inlineStr">
        <is>
          <t>SÖDERTÄLJE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3108-2024</t>
        </is>
      </c>
      <c r="B153" s="1" t="n">
        <v>45316</v>
      </c>
      <c r="C153" s="1" t="n">
        <v>45888</v>
      </c>
      <c r="D153" t="inlineStr">
        <is>
          <t>STOCKHOLMS LÄN</t>
        </is>
      </c>
      <c r="E153" t="inlineStr">
        <is>
          <t>SÖDERTÄLJE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42337-2024</t>
        </is>
      </c>
      <c r="B154" s="1" t="n">
        <v>45562</v>
      </c>
      <c r="C154" s="1" t="n">
        <v>45888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57884-2021</t>
        </is>
      </c>
      <c r="B155" s="1" t="n">
        <v>44485</v>
      </c>
      <c r="C155" s="1" t="n">
        <v>45888</v>
      </c>
      <c r="D155" t="inlineStr">
        <is>
          <t>STOCKHOLMS LÄN</t>
        </is>
      </c>
      <c r="E155" t="inlineStr">
        <is>
          <t>SÖDERTÄLJE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8323-2025</t>
        </is>
      </c>
      <c r="B156" s="1" t="n">
        <v>45708.6322337963</v>
      </c>
      <c r="C156" s="1" t="n">
        <v>45888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36502-2025</t>
        </is>
      </c>
      <c r="B157" s="1" t="n">
        <v>45869.56332175926</v>
      </c>
      <c r="C157" s="1" t="n">
        <v>45888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18592-2023</t>
        </is>
      </c>
      <c r="B158" s="1" t="n">
        <v>45043</v>
      </c>
      <c r="C158" s="1" t="n">
        <v>45888</v>
      </c>
      <c r="D158" t="inlineStr">
        <is>
          <t>STOCKHOLMS LÄN</t>
        </is>
      </c>
      <c r="E158" t="inlineStr">
        <is>
          <t>SÖDERTÄLJE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6886-2022</t>
        </is>
      </c>
      <c r="B159" s="1" t="n">
        <v>44602</v>
      </c>
      <c r="C159" s="1" t="n">
        <v>45888</v>
      </c>
      <c r="D159" t="inlineStr">
        <is>
          <t>STOCKHOLMS LÄN</t>
        </is>
      </c>
      <c r="E159" t="inlineStr">
        <is>
          <t>SÖDERTÄLJE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1381-2023</t>
        </is>
      </c>
      <c r="B160" s="1" t="n">
        <v>44936.68457175926</v>
      </c>
      <c r="C160" s="1" t="n">
        <v>45888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31086-2025</t>
        </is>
      </c>
      <c r="B161" s="1" t="n">
        <v>45832.59052083334</v>
      </c>
      <c r="C161" s="1" t="n">
        <v>45888</v>
      </c>
      <c r="D161" t="inlineStr">
        <is>
          <t>STOCKHOLMS LÄN</t>
        </is>
      </c>
      <c r="E161" t="inlineStr">
        <is>
          <t>SÖDERTÄLJE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56354-2023</t>
        </is>
      </c>
      <c r="B162" s="1" t="n">
        <v>45243</v>
      </c>
      <c r="C162" s="1" t="n">
        <v>45888</v>
      </c>
      <c r="D162" t="inlineStr">
        <is>
          <t>STOCKHOLMS LÄN</t>
        </is>
      </c>
      <c r="E162" t="inlineStr">
        <is>
          <t>SÖDERTÄLJE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31375-2024</t>
        </is>
      </c>
      <c r="B163" s="1" t="n">
        <v>45505</v>
      </c>
      <c r="C163" s="1" t="n">
        <v>45888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50059-2021</t>
        </is>
      </c>
      <c r="B164" s="1" t="n">
        <v>44455</v>
      </c>
      <c r="C164" s="1" t="n">
        <v>45888</v>
      </c>
      <c r="D164" t="inlineStr">
        <is>
          <t>STOCKHOLMS LÄN</t>
        </is>
      </c>
      <c r="E164" t="inlineStr">
        <is>
          <t>SÖDERTÄLJE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27771-2021</t>
        </is>
      </c>
      <c r="B165" s="1" t="n">
        <v>44354</v>
      </c>
      <c r="C165" s="1" t="n">
        <v>45888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1016-2022</t>
        </is>
      </c>
      <c r="B166" s="1" t="n">
        <v>44571</v>
      </c>
      <c r="C166" s="1" t="n">
        <v>45888</v>
      </c>
      <c r="D166" t="inlineStr">
        <is>
          <t>STOCKHOLMS LÄN</t>
        </is>
      </c>
      <c r="E166" t="inlineStr">
        <is>
          <t>SÖDERTÄLJE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8320-2025</t>
        </is>
      </c>
      <c r="B167" s="1" t="n">
        <v>45708.62876157407</v>
      </c>
      <c r="C167" s="1" t="n">
        <v>45888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35942-2022</t>
        </is>
      </c>
      <c r="B168" s="1" t="n">
        <v>44802</v>
      </c>
      <c r="C168" s="1" t="n">
        <v>45888</v>
      </c>
      <c r="D168" t="inlineStr">
        <is>
          <t>STOCKHOLMS LÄN</t>
        </is>
      </c>
      <c r="E168" t="inlineStr">
        <is>
          <t>SÖDERTÄLJE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3383-2024</t>
        </is>
      </c>
      <c r="B169" s="1" t="n">
        <v>45317</v>
      </c>
      <c r="C169" s="1" t="n">
        <v>45888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45888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38194-2025</t>
        </is>
      </c>
      <c r="B171" s="1" t="n">
        <v>45882.65921296296</v>
      </c>
      <c r="C171" s="1" t="n">
        <v>45888</v>
      </c>
      <c r="D171" t="inlineStr">
        <is>
          <t>STOCKHOLMS LÄN</t>
        </is>
      </c>
      <c r="E171" t="inlineStr">
        <is>
          <t>SÖDERTÄLJE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37842-2022</t>
        </is>
      </c>
      <c r="B172" s="1" t="n">
        <v>44810</v>
      </c>
      <c r="C172" s="1" t="n">
        <v>45888</v>
      </c>
      <c r="D172" t="inlineStr">
        <is>
          <t>STOCKHOLMS LÄN</t>
        </is>
      </c>
      <c r="E172" t="inlineStr">
        <is>
          <t>SÖDERTÄLJE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72218-2021</t>
        </is>
      </c>
      <c r="B173" s="1" t="n">
        <v>44544.76424768518</v>
      </c>
      <c r="C173" s="1" t="n">
        <v>45888</v>
      </c>
      <c r="D173" t="inlineStr">
        <is>
          <t>STOCKHOLMS LÄN</t>
        </is>
      </c>
      <c r="E173" t="inlineStr">
        <is>
          <t>SÖDERTÄLJE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49136-2021</t>
        </is>
      </c>
      <c r="B174" s="1" t="n">
        <v>44453.91797453703</v>
      </c>
      <c r="C174" s="1" t="n">
        <v>45888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45674-2021</t>
        </is>
      </c>
      <c r="B175" s="1" t="n">
        <v>44441</v>
      </c>
      <c r="C175" s="1" t="n">
        <v>45888</v>
      </c>
      <c r="D175" t="inlineStr">
        <is>
          <t>STOCKHOLMS LÄN</t>
        </is>
      </c>
      <c r="E175" t="inlineStr">
        <is>
          <t>SÖDERTÄLJE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20530-2024</t>
        </is>
      </c>
      <c r="B176" s="1" t="n">
        <v>45435</v>
      </c>
      <c r="C176" s="1" t="n">
        <v>45888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954-2023</t>
        </is>
      </c>
      <c r="B177" s="1" t="n">
        <v>44934.7921875</v>
      </c>
      <c r="C177" s="1" t="n">
        <v>45888</v>
      </c>
      <c r="D177" t="inlineStr">
        <is>
          <t>STOCKHOLMS LÄN</t>
        </is>
      </c>
      <c r="E177" t="inlineStr">
        <is>
          <t>SÖDERTÄLJE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35200-2023</t>
        </is>
      </c>
      <c r="B178" s="1" t="n">
        <v>45145</v>
      </c>
      <c r="C178" s="1" t="n">
        <v>45888</v>
      </c>
      <c r="D178" t="inlineStr">
        <is>
          <t>STOCKHOLMS LÄN</t>
        </is>
      </c>
      <c r="E178" t="inlineStr">
        <is>
          <t>SÖDERTÄLJE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45888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8316-2025</t>
        </is>
      </c>
      <c r="B180" s="1" t="n">
        <v>45708.6225462963</v>
      </c>
      <c r="C180" s="1" t="n">
        <v>45888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55940-2023</t>
        </is>
      </c>
      <c r="B181" s="1" t="n">
        <v>45240.30215277777</v>
      </c>
      <c r="C181" s="1" t="n">
        <v>45888</v>
      </c>
      <c r="D181" t="inlineStr">
        <is>
          <t>STOCKHOLMS LÄN</t>
        </is>
      </c>
      <c r="E181" t="inlineStr">
        <is>
          <t>SÖDERTÄLJE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56596-2023</t>
        </is>
      </c>
      <c r="B182" s="1" t="n">
        <v>45243</v>
      </c>
      <c r="C182" s="1" t="n">
        <v>45888</v>
      </c>
      <c r="D182" t="inlineStr">
        <is>
          <t>STOCKHOLMS LÄN</t>
        </is>
      </c>
      <c r="E182" t="inlineStr">
        <is>
          <t>SÖDERTÄLJE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51931-2023</t>
        </is>
      </c>
      <c r="B183" s="1" t="n">
        <v>45216</v>
      </c>
      <c r="C183" s="1" t="n">
        <v>45888</v>
      </c>
      <c r="D183" t="inlineStr">
        <is>
          <t>STOCKHOLMS LÄN</t>
        </is>
      </c>
      <c r="E183" t="inlineStr">
        <is>
          <t>SÖDERTÄLJE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34194-2024</t>
        </is>
      </c>
      <c r="B184" s="1" t="n">
        <v>45524</v>
      </c>
      <c r="C184" s="1" t="n">
        <v>45888</v>
      </c>
      <c r="D184" t="inlineStr">
        <is>
          <t>STOCKHOLMS LÄN</t>
        </is>
      </c>
      <c r="E184" t="inlineStr">
        <is>
          <t>SÖDERTÄLJE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4440-2023</t>
        </is>
      </c>
      <c r="B185" s="1" t="n">
        <v>44956</v>
      </c>
      <c r="C185" s="1" t="n">
        <v>45888</v>
      </c>
      <c r="D185" t="inlineStr">
        <is>
          <t>STOCKHOLMS LÄN</t>
        </is>
      </c>
      <c r="E185" t="inlineStr">
        <is>
          <t>SÖDERTÄLJE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1759-2025</t>
        </is>
      </c>
      <c r="B186" s="1" t="n">
        <v>45671.42385416666</v>
      </c>
      <c r="C186" s="1" t="n">
        <v>45888</v>
      </c>
      <c r="D186" t="inlineStr">
        <is>
          <t>STOCKHOLMS LÄN</t>
        </is>
      </c>
      <c r="E186" t="inlineStr">
        <is>
          <t>SÖDERTÄLJE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45184-2022</t>
        </is>
      </c>
      <c r="B187" s="1" t="n">
        <v>44844.39888888889</v>
      </c>
      <c r="C187" s="1" t="n">
        <v>45888</v>
      </c>
      <c r="D187" t="inlineStr">
        <is>
          <t>STOCKHOLMS LÄN</t>
        </is>
      </c>
      <c r="E187" t="inlineStr">
        <is>
          <t>SÖDERTÄLJE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2025-08-19T08:27:36Z</dcterms:created>
  <dcterms:modified xmlns:dcterms="http://purl.org/dc/terms/" xmlns:xsi="http://www.w3.org/2001/XMLSchema-instance" xsi:type="dcterms:W3CDTF">2025-08-19T08:27:36Z</dcterms:modified>
</cp:coreProperties>
</file>