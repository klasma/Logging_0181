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46302</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46302</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46302</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46302</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25671-2026</t>
        </is>
      </c>
      <c r="B11" t="inlineStr">
        <is>
          <t>avverkningsanmälan</t>
        </is>
      </c>
      <c r="C11" t="inlineStr">
        <is>
          <t>Föryngringsavverkning</t>
        </is>
      </c>
      <c r="D11" s="1" t="n">
        <v>46178</v>
      </c>
      <c r="E11" s="1" t="n">
        <v>46302</v>
      </c>
      <c r="F11" t="inlineStr">
        <is>
          <t>STOCKHOLMS LÄN</t>
        </is>
      </c>
      <c r="G11" t="inlineStr">
        <is>
          <t>SÖDERTÄLJE</t>
        </is>
      </c>
      <c r="H11" t="inlineStr">
        <is>
          <t>Sveaskog</t>
        </is>
      </c>
      <c r="I11" t="n">
        <v>1.3</v>
      </c>
      <c r="J11" t="n">
        <v>4</v>
      </c>
      <c r="K11" t="n">
        <v>0</v>
      </c>
      <c r="L11" t="n">
        <v>4</v>
      </c>
      <c r="M11" t="n">
        <v>0</v>
      </c>
      <c r="N11" t="n">
        <v>0</v>
      </c>
      <c r="O11" t="n">
        <v>0</v>
      </c>
      <c r="P11" t="n">
        <v>0</v>
      </c>
      <c r="Q11" t="n">
        <v>4</v>
      </c>
      <c r="R11" t="n">
        <v>0</v>
      </c>
      <c r="S11" t="n">
        <v>8</v>
      </c>
      <c r="T11" t="n">
        <v>12</v>
      </c>
      <c r="U11" t="n">
        <v>0</v>
      </c>
      <c r="V11" s="2" t="inlineStr">
        <is>
          <t>Dvärgbägarlav
Fjällig taggsvamp s.str.
Vedskivlav
Vedtrappmossa
Blåsippa
Spillkråka
Tjäder
Revlummer</t>
        </is>
      </c>
      <c r="W11">
        <f>HYPERLINK("https://klasma.github.io/Logging_0181/artfynd/A 25671-2026 artfynd.xlsx", "A 25671-2026")</f>
        <v/>
      </c>
      <c r="X11">
        <f>HYPERLINK("https://klasma.github.io/Logging_0181/kartor/A 25671-2026 karta.png", "A 25671-2026")</f>
        <v/>
      </c>
      <c r="Y11">
        <f>HYPERLINK("https://klasma.github.io/Logging_0181/kartor_geotiff/A 25671-2026 georefererad karta.tif", "A 25671-2026")</f>
        <v/>
      </c>
      <c r="AA11">
        <f>HYPERLINK("https://klasma.github.io/Logging_0181/klagomål/A 25671-2026 FSC-klagomål.docx", "A 25671-2026")</f>
        <v/>
      </c>
      <c r="AB11">
        <f>HYPERLINK("https://klasma.github.io/Logging_0181/klagomålsmail/A 25671-2026 FSC-klagomål mail.docx", "A 25671-2026")</f>
        <v/>
      </c>
      <c r="AC11">
        <f>HYPERLINK("https://klasma.github.io/Logging_0181/tillsyn/A 25671-2026 tillsynsbegäran.docx", "A 25671-2026")</f>
        <v/>
      </c>
      <c r="AD11">
        <f>HYPERLINK("https://klasma.github.io/Logging_0181/tillsynsmail/A 25671-2026 tillsynsbegäran mail.docx", "A 25671-2026")</f>
        <v/>
      </c>
      <c r="AE11">
        <f>HYPERLINK("https://klasma.github.io/Logging_0181/fåglar/A 25671-2026 prioriterade fågelarter.docx", "A 25671-2026")</f>
        <v/>
      </c>
    </row>
    <row r="12" ht="15" customHeight="1">
      <c r="A12" t="inlineStr">
        <is>
          <t>A 35012-2024</t>
        </is>
      </c>
      <c r="B12" t="inlineStr">
        <is>
          <t>avverkningsanmälan</t>
        </is>
      </c>
      <c r="C12" t="inlineStr">
        <is>
          <t>Avverkning för att bevara och utveckla /försöksver</t>
        </is>
      </c>
      <c r="D12" s="1" t="n">
        <v>45527</v>
      </c>
      <c r="E12" s="1" t="n">
        <v>46302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46302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46302</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46302</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46302</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46302</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46302</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97-2024</t>
        </is>
      </c>
      <c r="B19" t="inlineStr">
        <is>
          <t>avverkningsanmälan</t>
        </is>
      </c>
      <c r="C19" t="inlineStr">
        <is>
          <t>Föryngringsavverkning</t>
        </is>
      </c>
      <c r="D19" s="1" t="n">
        <v>45293</v>
      </c>
      <c r="E19" s="1" t="n">
        <v>46302</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46302</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46302</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46302</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46302</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9205-2026</t>
        </is>
      </c>
      <c r="B24" t="inlineStr">
        <is>
          <t>avverkningsanmälan</t>
        </is>
      </c>
      <c r="C24" t="inlineStr">
        <is>
          <t>Föryngringsavverkning</t>
        </is>
      </c>
      <c r="D24" s="1" t="n">
        <v>46070</v>
      </c>
      <c r="E24" s="1" t="n">
        <v>46302</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49850-2025</t>
        </is>
      </c>
      <c r="B25" t="inlineStr">
        <is>
          <t>avverkningsanmälan</t>
        </is>
      </c>
      <c r="C25" t="inlineStr">
        <is>
          <t>Föryngringsavverkning</t>
        </is>
      </c>
      <c r="D25" s="1" t="n">
        <v>45940</v>
      </c>
      <c r="E25" s="1" t="n">
        <v>46302</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46302</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46302</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46302</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46302</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46302</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46302</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46302</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46302</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46302</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3711-2026</t>
        </is>
      </c>
      <c r="B35" t="inlineStr">
        <is>
          <t>avverkningsanmälan</t>
        </is>
      </c>
      <c r="C35" t="inlineStr">
        <is>
          <t>Föryngringsavverkning</t>
        </is>
      </c>
      <c r="D35" s="1" t="n">
        <v>46043</v>
      </c>
      <c r="E35" s="1" t="n">
        <v>46302</v>
      </c>
      <c r="F35" t="inlineStr">
        <is>
          <t>STOCKHOLMS LÄN</t>
        </is>
      </c>
      <c r="G35" t="inlineStr">
        <is>
          <t>SÖDERTÄLJE</t>
        </is>
      </c>
      <c r="I35" t="n">
        <v>5.3</v>
      </c>
      <c r="J35" t="n">
        <v>1</v>
      </c>
      <c r="K35" t="n">
        <v>0</v>
      </c>
      <c r="L35" t="n">
        <v>1</v>
      </c>
      <c r="M35" t="n">
        <v>0</v>
      </c>
      <c r="N35" t="n">
        <v>0</v>
      </c>
      <c r="O35" t="n">
        <v>0</v>
      </c>
      <c r="P35" t="n">
        <v>0</v>
      </c>
      <c r="Q35" t="n">
        <v>1</v>
      </c>
      <c r="R35" t="n">
        <v>0</v>
      </c>
      <c r="S35" t="n">
        <v>2</v>
      </c>
      <c r="T35" t="n">
        <v>3</v>
      </c>
      <c r="U35" t="n">
        <v>0</v>
      </c>
      <c r="V35" s="2" t="inlineStr">
        <is>
          <t>Motaggsvamp
Spillkråka</t>
        </is>
      </c>
      <c r="W35">
        <f>HYPERLINK("https://klasma.github.io/Logging_0181/artfynd/A 3711-2026 artfynd.xlsx", "A 3711-2026")</f>
        <v/>
      </c>
      <c r="X35">
        <f>HYPERLINK("https://klasma.github.io/Logging_0181/kartor/A 3711-2026 karta.png", "A 3711-2026")</f>
        <v/>
      </c>
      <c r="Y35">
        <f>HYPERLINK("https://klasma.github.io/Logging_0181/kartor_geotiff/A 3711-2026 georefererad karta.tif", "A 3711-2026")</f>
        <v/>
      </c>
      <c r="AA35">
        <f>HYPERLINK("https://klasma.github.io/Logging_0181/klagomål/A 3711-2026 FSC-klagomål.docx", "A 3711-2026")</f>
        <v/>
      </c>
      <c r="AB35">
        <f>HYPERLINK("https://klasma.github.io/Logging_0181/klagomålsmail/A 3711-2026 FSC-klagomål mail.docx", "A 3711-2026")</f>
        <v/>
      </c>
      <c r="AC35">
        <f>HYPERLINK("https://klasma.github.io/Logging_0181/tillsyn/A 3711-2026 tillsynsbegäran.docx", "A 3711-2026")</f>
        <v/>
      </c>
      <c r="AD35">
        <f>HYPERLINK("https://klasma.github.io/Logging_0181/tillsynsmail/A 3711-2026 tillsynsbegäran mail.docx", "A 3711-2026")</f>
        <v/>
      </c>
      <c r="AE35">
        <f>HYPERLINK("https://klasma.github.io/Logging_0181/fåglar/A 3711-2026 prioriterade fågelarter.docx", "A 3711-2026")</f>
        <v/>
      </c>
    </row>
    <row r="36" ht="15" customHeight="1">
      <c r="A36" t="inlineStr">
        <is>
          <t>A 27058-2024</t>
        </is>
      </c>
      <c r="B36" t="inlineStr">
        <is>
          <t>avverkningsanmälan</t>
        </is>
      </c>
      <c r="C36" t="inlineStr">
        <is>
          <t>Avverkning för att bevara och utveckla /försöksver</t>
        </is>
      </c>
      <c r="D36" s="1" t="n">
        <v>45471</v>
      </c>
      <c r="E36" s="1" t="n">
        <v>46302</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55941-2023</t>
        </is>
      </c>
      <c r="B37" t="inlineStr">
        <is>
          <t>avverkningsanmälan</t>
        </is>
      </c>
      <c r="C37" t="inlineStr">
        <is>
          <t>Föryngringsavverkning</t>
        </is>
      </c>
      <c r="D37" s="1" t="n">
        <v>45240</v>
      </c>
      <c r="E37" s="1" t="n">
        <v>46302</v>
      </c>
      <c r="F37" t="inlineStr">
        <is>
          <t>STOCKHOLMS LÄN</t>
        </is>
      </c>
      <c r="G37" t="inlineStr">
        <is>
          <t>SÖDERTÄLJE</t>
        </is>
      </c>
      <c r="I37" t="n">
        <v>2.5</v>
      </c>
      <c r="J37" t="n">
        <v>0</v>
      </c>
      <c r="K37" t="n">
        <v>1</v>
      </c>
      <c r="L37" t="n">
        <v>1</v>
      </c>
      <c r="M37" t="n">
        <v>0</v>
      </c>
      <c r="N37" t="n">
        <v>0</v>
      </c>
      <c r="O37" t="n">
        <v>0</v>
      </c>
      <c r="P37" t="n">
        <v>0</v>
      </c>
      <c r="Q37" t="n">
        <v>1</v>
      </c>
      <c r="R37" t="n">
        <v>0</v>
      </c>
      <c r="S37" t="n">
        <v>2</v>
      </c>
      <c r="T37" t="n">
        <v>2</v>
      </c>
      <c r="U37" t="n">
        <v>0</v>
      </c>
      <c r="V37" s="2" t="inlineStr">
        <is>
          <t>Gullpudra
Granbarkgnagare</t>
        </is>
      </c>
      <c r="W37">
        <f>HYPERLINK("https://klasma.github.io/Logging_0181/artfynd/A 55941-2023 artfynd.xlsx", "A 55941-2023")</f>
        <v/>
      </c>
      <c r="X37">
        <f>HYPERLINK("https://klasma.github.io/Logging_0181/kartor/A 55941-2023 karta.png", "A 55941-2023")</f>
        <v/>
      </c>
      <c r="Y37">
        <f>HYPERLINK("https://klasma.github.io/Logging_0181/kartor_geotiff/A 55941-2023 georefererad karta.tif", "A 55941-2023")</f>
        <v/>
      </c>
      <c r="AA37">
        <f>HYPERLINK("https://klasma.github.io/Logging_0181/klagomål/A 55941-2023 FSC-klagomål.docx", "A 55941-2023")</f>
        <v/>
      </c>
      <c r="AB37">
        <f>HYPERLINK("https://klasma.github.io/Logging_0181/klagomålsmail/A 55941-2023 FSC-klagomål mail.docx", "A 55941-2023")</f>
        <v/>
      </c>
      <c r="AC37">
        <f>HYPERLINK("https://klasma.github.io/Logging_0181/tillsyn/A 55941-2023 tillsynsbegäran.docx", "A 55941-2023")</f>
        <v/>
      </c>
      <c r="AD37">
        <f>HYPERLINK("https://klasma.github.io/Logging_0181/tillsynsmail/A 55941-2023 tillsynsbegäran mail.docx", "A 55941-2023")</f>
        <v/>
      </c>
    </row>
    <row r="38" ht="15" customHeight="1">
      <c r="A38" t="inlineStr">
        <is>
          <t>A 55044-2025</t>
        </is>
      </c>
      <c r="B38" t="inlineStr">
        <is>
          <t>avverkningsanmälan</t>
        </is>
      </c>
      <c r="C38" t="inlineStr">
        <is>
          <t>Föryngringsavverkning</t>
        </is>
      </c>
      <c r="D38" s="1" t="n">
        <v>45967</v>
      </c>
      <c r="E38" s="1" t="n">
        <v>46302</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35155-2023</t>
        </is>
      </c>
      <c r="B39" t="inlineStr">
        <is>
          <t>avverkningsanmälan</t>
        </is>
      </c>
      <c r="C39" t="inlineStr">
        <is>
          <t>Föryngringsavverkning</t>
        </is>
      </c>
      <c r="D39" s="1" t="n">
        <v>45145</v>
      </c>
      <c r="E39" s="1" t="n">
        <v>46302</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46302</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10263-2025</t>
        </is>
      </c>
      <c r="B41" t="inlineStr">
        <is>
          <t>avverkningsanmälan</t>
        </is>
      </c>
      <c r="C41" t="inlineStr">
        <is>
          <t>Föryngringsavverkning</t>
        </is>
      </c>
      <c r="D41" s="1" t="n">
        <v>45720</v>
      </c>
      <c r="E41" s="1" t="n">
        <v>46302</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46302</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46302</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52046-2022</t>
        </is>
      </c>
      <c r="B44" t="inlineStr">
        <is>
          <t>avverkningsanmälan</t>
        </is>
      </c>
      <c r="C44" t="inlineStr">
        <is>
          <t>Föryngringsavverkning</t>
        </is>
      </c>
      <c r="D44" s="1" t="n">
        <v>44868</v>
      </c>
      <c r="E44" s="1" t="n">
        <v>46302</v>
      </c>
      <c r="F44" t="inlineStr">
        <is>
          <t>STOCKHOLMS LÄN</t>
        </is>
      </c>
      <c r="G44" t="inlineStr">
        <is>
          <t>SÖDERTÄLJE</t>
        </is>
      </c>
      <c r="H44" t="inlineStr">
        <is>
          <t>Kommuner</t>
        </is>
      </c>
      <c r="I44" t="n">
        <v>14.4</v>
      </c>
      <c r="J44" t="n">
        <v>1</v>
      </c>
      <c r="K44" t="n">
        <v>0</v>
      </c>
      <c r="L44" t="n">
        <v>1</v>
      </c>
      <c r="M44" t="n">
        <v>0</v>
      </c>
      <c r="N44" t="n">
        <v>0</v>
      </c>
      <c r="O44" t="n">
        <v>0</v>
      </c>
      <c r="P44" t="n">
        <v>0</v>
      </c>
      <c r="Q44" t="n">
        <v>1</v>
      </c>
      <c r="R44" t="n">
        <v>0</v>
      </c>
      <c r="S44" t="n">
        <v>2</v>
      </c>
      <c r="T44" t="n">
        <v>2</v>
      </c>
      <c r="U44" t="n">
        <v>1</v>
      </c>
      <c r="V44" s="2" t="inlineStr">
        <is>
          <t>Ullticka
Nattviol</t>
        </is>
      </c>
      <c r="W44">
        <f>HYPERLINK("https://klasma.github.io/Logging_0181/artfynd/A 52046-2022 artfynd.xlsx", "A 52046-2022")</f>
        <v/>
      </c>
      <c r="X44">
        <f>HYPERLINK("https://klasma.github.io/Logging_0181/kartor/A 52046-2022 karta.png", "A 52046-2022")</f>
        <v/>
      </c>
      <c r="Y44">
        <f>HYPERLINK("https://klasma.github.io/Logging_0181/kartor_geotiff/A 52046-2022 georefererad karta.tif", "A 52046-2022")</f>
        <v/>
      </c>
      <c r="AA44">
        <f>HYPERLINK("https://klasma.github.io/Logging_0181/klagomål/A 52046-2022 FSC-klagomål.docx", "A 52046-2022")</f>
        <v/>
      </c>
      <c r="AB44">
        <f>HYPERLINK("https://klasma.github.io/Logging_0181/klagomålsmail/A 52046-2022 FSC-klagomål mail.docx", "A 52046-2022")</f>
        <v/>
      </c>
      <c r="AC44">
        <f>HYPERLINK("https://klasma.github.io/Logging_0181/tillsyn/A 52046-2022 tillsynsbegäran.docx", "A 52046-2022")</f>
        <v/>
      </c>
      <c r="AD44">
        <f>HYPERLINK("https://klasma.github.io/Logging_0181/tillsynsmail/A 52046-2022 tillsynsbegäran mail.docx", "A 52046-2022")</f>
        <v/>
      </c>
    </row>
    <row r="45" ht="15" customHeight="1">
      <c r="A45" t="inlineStr">
        <is>
          <t>A 16535-2025</t>
        </is>
      </c>
      <c r="B45" t="inlineStr">
        <is>
          <t>avverkningsanmälan</t>
        </is>
      </c>
      <c r="C45" t="inlineStr">
        <is>
          <t>Föryngringsavverkning</t>
        </is>
      </c>
      <c r="D45" s="1" t="n">
        <v>45751</v>
      </c>
      <c r="E45" s="1" t="n">
        <v>46302</v>
      </c>
      <c r="F45" t="inlineStr">
        <is>
          <t>STOCKHOLMS LÄN</t>
        </is>
      </c>
      <c r="G45" t="inlineStr">
        <is>
          <t>SÖDERTÄLJE</t>
        </is>
      </c>
      <c r="I45" t="n">
        <v>1.1</v>
      </c>
      <c r="J45" t="n">
        <v>1</v>
      </c>
      <c r="K45" t="n">
        <v>1</v>
      </c>
      <c r="L45" t="n">
        <v>0</v>
      </c>
      <c r="M45" t="n">
        <v>0</v>
      </c>
      <c r="N45" t="n">
        <v>0</v>
      </c>
      <c r="O45" t="n">
        <v>0</v>
      </c>
      <c r="P45" t="n">
        <v>0</v>
      </c>
      <c r="Q45" t="n">
        <v>0</v>
      </c>
      <c r="R45" t="n">
        <v>0</v>
      </c>
      <c r="S45" t="n">
        <v>2</v>
      </c>
      <c r="T45" t="n">
        <v>4</v>
      </c>
      <c r="U45" t="n">
        <v>0</v>
      </c>
      <c r="V45" s="2" t="inlineStr">
        <is>
          <t>Tibast
Blåsippa</t>
        </is>
      </c>
      <c r="W45">
        <f>HYPERLINK("https://klasma.github.io/Logging_0181/artfynd/A 16535-2025 artfynd.xlsx", "A 16535-2025")</f>
        <v/>
      </c>
      <c r="X45">
        <f>HYPERLINK("https://klasma.github.io/Logging_0181/kartor/A 16535-2025 karta.png", "A 16535-2025")</f>
        <v/>
      </c>
      <c r="Y45">
        <f>HYPERLINK("https://klasma.github.io/Logging_0181/kartor_geotiff/A 16535-2025 georefererad karta.tif", "A 16535-2025")</f>
        <v/>
      </c>
      <c r="AA45">
        <f>HYPERLINK("https://klasma.github.io/Logging_0181/klagomål/A 16535-2025 FSC-klagomål.docx", "A 16535-2025")</f>
        <v/>
      </c>
      <c r="AB45">
        <f>HYPERLINK("https://klasma.github.io/Logging_0181/klagomålsmail/A 16535-2025 FSC-klagomål mail.docx", "A 16535-2025")</f>
        <v/>
      </c>
      <c r="AC45">
        <f>HYPERLINK("https://klasma.github.io/Logging_0181/tillsyn/A 16535-2025 tillsynsbegäran.docx", "A 16535-2025")</f>
        <v/>
      </c>
      <c r="AD45">
        <f>HYPERLINK("https://klasma.github.io/Logging_0181/tillsynsmail/A 16535-2025 tillsynsbegäran mail.docx", "A 16535-2025")</f>
        <v/>
      </c>
    </row>
    <row r="46" ht="15" customHeight="1">
      <c r="A46" t="inlineStr">
        <is>
          <t>S 6027-2022</t>
        </is>
      </c>
      <c r="B46" t="inlineStr">
        <is>
          <t>samrådsanmälan</t>
        </is>
      </c>
      <c r="C46" t="inlineStr">
        <is>
          <t>Annan skogsbruksåtgärd</t>
        </is>
      </c>
      <c r="D46" s="1" t="n">
        <v>44859</v>
      </c>
      <c r="E46" s="1" t="n">
        <v>46302</v>
      </c>
      <c r="F46" t="inlineStr">
        <is>
          <t>STOCKHOLMS LÄN</t>
        </is>
      </c>
      <c r="G46" t="inlineStr">
        <is>
          <t>SÖDERTÄLJE</t>
        </is>
      </c>
      <c r="H46" t="inlineStr">
        <is>
          <t>Sveaskog</t>
        </is>
      </c>
      <c r="I46" t="n">
        <v>10.1</v>
      </c>
      <c r="J46" t="n">
        <v>1</v>
      </c>
      <c r="K46" t="n">
        <v>0</v>
      </c>
      <c r="L46" t="n">
        <v>1</v>
      </c>
      <c r="M46" t="n">
        <v>0</v>
      </c>
      <c r="N46" t="n">
        <v>0</v>
      </c>
      <c r="O46" t="n">
        <v>0</v>
      </c>
      <c r="P46" t="n">
        <v>0</v>
      </c>
      <c r="Q46" t="n">
        <v>1</v>
      </c>
      <c r="R46" t="n">
        <v>0</v>
      </c>
      <c r="S46" t="n">
        <v>2</v>
      </c>
      <c r="T46" t="n">
        <v>2</v>
      </c>
      <c r="U46" t="n">
        <v>1</v>
      </c>
      <c r="V46" s="2" t="inlineStr">
        <is>
          <t>Rynkskinn
Revlummer</t>
        </is>
      </c>
      <c r="W46">
        <f>HYPERLINK("https://klasma.github.io/Logging_0181/artfynd/S 6027-2022 artfynd.xlsx", "S 6027-2022")</f>
        <v/>
      </c>
      <c r="X46">
        <f>HYPERLINK("https://klasma.github.io/Logging_0181/kartor/S 6027-2022 karta.png", "S 6027-2022")</f>
        <v/>
      </c>
      <c r="Y46">
        <f>HYPERLINK("https://klasma.github.io/Logging_0181/kartor_geotiff/S 6027-2022 georefererad karta.tif", "S 6027-2022")</f>
        <v/>
      </c>
      <c r="AA46">
        <f>HYPERLINK("https://klasma.github.io/Logging_0181/klagomål/S 6027-2022 FSC-klagomål.docx", "S 6027-2022")</f>
        <v/>
      </c>
      <c r="AB46">
        <f>HYPERLINK("https://klasma.github.io/Logging_0181/klagomålsmail/S 6027-2022 FSC-klagomål mail.docx", "S 6027-2022")</f>
        <v/>
      </c>
      <c r="AC46">
        <f>HYPERLINK("https://klasma.github.io/Logging_0181/tillsyn/S 6027-2022 tillsynsbegäran.docx", "S 6027-2022")</f>
        <v/>
      </c>
      <c r="AD46">
        <f>HYPERLINK("https://klasma.github.io/Logging_0181/tillsynsmail/S 6027-2022 tillsynsbegäran mail.docx", "S 6027-2022")</f>
        <v/>
      </c>
    </row>
    <row r="47" ht="15" customHeight="1">
      <c r="A47" t="inlineStr">
        <is>
          <t>A 40816-2022</t>
        </is>
      </c>
      <c r="B47" t="inlineStr">
        <is>
          <t>avverkningsanmälan</t>
        </is>
      </c>
      <c r="C47" t="inlineStr">
        <is>
          <t>Föryngringsavverkning</t>
        </is>
      </c>
      <c r="D47" s="1" t="n">
        <v>44824</v>
      </c>
      <c r="E47" s="1" t="n">
        <v>46302</v>
      </c>
      <c r="F47" t="inlineStr">
        <is>
          <t>STOCKHOLMS LÄN</t>
        </is>
      </c>
      <c r="G47" t="inlineStr">
        <is>
          <t>SÖDERTÄLJE</t>
        </is>
      </c>
      <c r="I47" t="n">
        <v>10.2</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HYPERLINK("https://klasma.github.io/Logging_0181/artfynd/A 40816-2022 artfynd.xlsx", "A 40816-2022")</f>
        <v/>
      </c>
      <c r="X47">
        <f>HYPERLINK("https://klasma.github.io/Logging_0181/kartor/A 40816-2022 karta.png", "A 40816-2022")</f>
        <v/>
      </c>
      <c r="Y47">
        <f>HYPERLINK("https://klasma.github.io/Logging_0181/kartor_geotiff/A 40816-2022 georefererad karta.tif", "A 40816-2022")</f>
        <v/>
      </c>
      <c r="Z47">
        <f>HYPERLINK("https://klasma.github.io/Logging_0181/knärot/A 40816-2022 karta knärot.png", "A 40816-2022")</f>
        <v/>
      </c>
      <c r="AA47">
        <f>HYPERLINK("https://klasma.github.io/Logging_0181/klagomål/A 40816-2022 FSC-klagomål.docx", "A 40816-2022")</f>
        <v/>
      </c>
      <c r="AB47">
        <f>HYPERLINK("https://klasma.github.io/Logging_0181/klagomålsmail/A 40816-2022 FSC-klagomål mail.docx", "A 40816-2022")</f>
        <v/>
      </c>
      <c r="AC47">
        <f>HYPERLINK("https://klasma.github.io/Logging_0181/tillsyn/A 40816-2022 tillsynsbegäran.docx", "A 40816-2022")</f>
        <v/>
      </c>
      <c r="AD47">
        <f>HYPERLINK("https://klasma.github.io/Logging_0181/tillsynsmail/A 40816-2022 tillsynsbegäran mail.docx", "A 40816-2022")</f>
        <v/>
      </c>
    </row>
    <row r="48" ht="15" customHeight="1">
      <c r="A48" t="inlineStr">
        <is>
          <t>A 38452-2022</t>
        </is>
      </c>
      <c r="B48" t="inlineStr">
        <is>
          <t>avverkningsanmälan</t>
        </is>
      </c>
      <c r="C48" t="inlineStr">
        <is>
          <t>Föryngringsavverkning</t>
        </is>
      </c>
      <c r="D48" s="1" t="n">
        <v>44813</v>
      </c>
      <c r="E48" s="1" t="n">
        <v>46302</v>
      </c>
      <c r="F48" t="inlineStr">
        <is>
          <t>STOCKHOLMS LÄN</t>
        </is>
      </c>
      <c r="G48" t="inlineStr">
        <is>
          <t>SÖDERTÄLJE</t>
        </is>
      </c>
      <c r="H48" t="inlineStr">
        <is>
          <t>Kommuner</t>
        </is>
      </c>
      <c r="I48" t="n">
        <v>25</v>
      </c>
      <c r="J48" t="n">
        <v>0</v>
      </c>
      <c r="K48" t="n">
        <v>1</v>
      </c>
      <c r="L48" t="n">
        <v>0</v>
      </c>
      <c r="M48" t="n">
        <v>0</v>
      </c>
      <c r="N48" t="n">
        <v>0</v>
      </c>
      <c r="O48" t="n">
        <v>0</v>
      </c>
      <c r="P48" t="n">
        <v>0</v>
      </c>
      <c r="Q48" t="n">
        <v>0</v>
      </c>
      <c r="R48" t="n">
        <v>0</v>
      </c>
      <c r="S48" t="n">
        <v>1</v>
      </c>
      <c r="T48" t="n">
        <v>1</v>
      </c>
      <c r="U48" t="n">
        <v>1</v>
      </c>
      <c r="V48" s="2" t="inlineStr">
        <is>
          <t>Rödgul trumpetsvamp</t>
        </is>
      </c>
      <c r="W48">
        <f>HYPERLINK("https://klasma.github.io/Logging_0181/artfynd/A 38452-2022 artfynd.xlsx", "A 38452-2022")</f>
        <v/>
      </c>
      <c r="X48">
        <f>HYPERLINK("https://klasma.github.io/Logging_0181/kartor/A 38452-2022 karta.png", "A 38452-2022")</f>
        <v/>
      </c>
      <c r="Y48">
        <f>HYPERLINK("https://klasma.github.io/Logging_0181/kartor_geotiff/A 38452-2022 georefererad karta.tif", "A 38452-2022")</f>
        <v/>
      </c>
      <c r="AA48">
        <f>HYPERLINK("https://klasma.github.io/Logging_0181/klagomål/A 38452-2022 FSC-klagomål.docx", "A 38452-2022")</f>
        <v/>
      </c>
      <c r="AB48">
        <f>HYPERLINK("https://klasma.github.io/Logging_0181/klagomålsmail/A 38452-2022 FSC-klagomål mail.docx", "A 38452-2022")</f>
        <v/>
      </c>
      <c r="AC48">
        <f>HYPERLINK("https://klasma.github.io/Logging_0181/tillsyn/A 38452-2022 tillsynsbegäran.docx", "A 38452-2022")</f>
        <v/>
      </c>
      <c r="AD48">
        <f>HYPERLINK("https://klasma.github.io/Logging_0181/tillsynsmail/A 38452-2022 tillsynsbegäran mail.docx", "A 38452-2022")</f>
        <v/>
      </c>
    </row>
    <row r="49" ht="15" customHeight="1">
      <c r="A49" t="inlineStr">
        <is>
          <t>A 58928-2022</t>
        </is>
      </c>
      <c r="B49" t="inlineStr">
        <is>
          <t>avverkningsanmälan</t>
        </is>
      </c>
      <c r="C49" t="inlineStr">
        <is>
          <t>Föryngringsavverkning</t>
        </is>
      </c>
      <c r="D49" s="1" t="n">
        <v>44903</v>
      </c>
      <c r="E49" s="1" t="n">
        <v>46302</v>
      </c>
      <c r="F49" t="inlineStr">
        <is>
          <t>STOCKHOLMS LÄN</t>
        </is>
      </c>
      <c r="G49" t="inlineStr">
        <is>
          <t>SÖDERTÄLJE</t>
        </is>
      </c>
      <c r="H49" t="inlineStr">
        <is>
          <t>Kommuner</t>
        </is>
      </c>
      <c r="I49" t="n">
        <v>9.199999999999999</v>
      </c>
      <c r="J49" t="n">
        <v>0</v>
      </c>
      <c r="K49" t="n">
        <v>0</v>
      </c>
      <c r="L49" t="n">
        <v>0</v>
      </c>
      <c r="M49" t="n">
        <v>1</v>
      </c>
      <c r="N49" t="n">
        <v>0</v>
      </c>
      <c r="O49" t="n">
        <v>0</v>
      </c>
      <c r="P49" t="n">
        <v>0</v>
      </c>
      <c r="Q49" t="n">
        <v>1</v>
      </c>
      <c r="R49" t="n">
        <v>1</v>
      </c>
      <c r="S49" t="n">
        <v>1</v>
      </c>
      <c r="T49" t="n">
        <v>1</v>
      </c>
      <c r="U49" t="n">
        <v>0</v>
      </c>
      <c r="V49" s="2" t="inlineStr">
        <is>
          <t>Bandnate</t>
        </is>
      </c>
      <c r="W49">
        <f>HYPERLINK("https://klasma.github.io/Logging_0181/artfynd/A 58928-2022 artfynd.xlsx", "A 58928-2022")</f>
        <v/>
      </c>
      <c r="X49">
        <f>HYPERLINK("https://klasma.github.io/Logging_0181/kartor/A 58928-2022 karta.png", "A 58928-2022")</f>
        <v/>
      </c>
      <c r="Y49">
        <f>HYPERLINK("https://klasma.github.io/Logging_0181/kartor_geotiff/A 58928-2022 georefererad karta.tif", "A 58928-2022")</f>
        <v/>
      </c>
      <c r="AA49">
        <f>HYPERLINK("https://klasma.github.io/Logging_0181/klagomål/A 58928-2022 FSC-klagomål.docx", "A 58928-2022")</f>
        <v/>
      </c>
      <c r="AB49">
        <f>HYPERLINK("https://klasma.github.io/Logging_0181/klagomålsmail/A 58928-2022 FSC-klagomål mail.docx", "A 58928-2022")</f>
        <v/>
      </c>
      <c r="AC49">
        <f>HYPERLINK("https://klasma.github.io/Logging_0181/tillsyn/A 58928-2022 tillsynsbegäran.docx", "A 58928-2022")</f>
        <v/>
      </c>
      <c r="AD49">
        <f>HYPERLINK("https://klasma.github.io/Logging_0181/tillsynsmail/A 58928-2022 tillsynsbegäran mail.docx", "A 58928-2022")</f>
        <v/>
      </c>
    </row>
    <row r="50" ht="15" customHeight="1">
      <c r="A50" t="inlineStr">
        <is>
          <t>A 41702-2025</t>
        </is>
      </c>
      <c r="B50" t="inlineStr">
        <is>
          <t>avverkningsanmälan</t>
        </is>
      </c>
      <c r="C50" t="inlineStr">
        <is>
          <t>Föryngringsavverkning</t>
        </is>
      </c>
      <c r="D50" s="1" t="n">
        <v>45902</v>
      </c>
      <c r="E50" s="1" t="n">
        <v>46302</v>
      </c>
      <c r="F50" t="inlineStr">
        <is>
          <t>STOCKHOLMS LÄN</t>
        </is>
      </c>
      <c r="G50" t="inlineStr">
        <is>
          <t>SÖDERTÄLJE</t>
        </is>
      </c>
      <c r="I50" t="n">
        <v>2.1</v>
      </c>
      <c r="J50" t="n">
        <v>1</v>
      </c>
      <c r="K50" t="n">
        <v>0</v>
      </c>
      <c r="L50" t="n">
        <v>1</v>
      </c>
      <c r="M50" t="n">
        <v>0</v>
      </c>
      <c r="N50" t="n">
        <v>0</v>
      </c>
      <c r="O50" t="n">
        <v>0</v>
      </c>
      <c r="P50" t="n">
        <v>0</v>
      </c>
      <c r="Q50" t="n">
        <v>1</v>
      </c>
      <c r="R50" t="n">
        <v>0</v>
      </c>
      <c r="S50" t="n">
        <v>1</v>
      </c>
      <c r="T50" t="n">
        <v>1</v>
      </c>
      <c r="U50" t="n">
        <v>0</v>
      </c>
      <c r="V50" s="2" t="inlineStr">
        <is>
          <t>Björktrast</t>
        </is>
      </c>
      <c r="W50">
        <f>HYPERLINK("https://klasma.github.io/Logging_0181/artfynd/A 41702-2025 artfynd.xlsx", "A 41702-2025")</f>
        <v/>
      </c>
      <c r="X50">
        <f>HYPERLINK("https://klasma.github.io/Logging_0181/kartor/A 41702-2025 karta.png", "A 41702-2025")</f>
        <v/>
      </c>
      <c r="Y50">
        <f>HYPERLINK("https://klasma.github.io/Logging_0181/kartor_geotiff/A 41702-2025 georefererad karta.tif", "A 41702-2025")</f>
        <v/>
      </c>
      <c r="AA50">
        <f>HYPERLINK("https://klasma.github.io/Logging_0181/klagomål/A 41702-2025 FSC-klagomål.docx", "A 41702-2025")</f>
        <v/>
      </c>
      <c r="AB50">
        <f>HYPERLINK("https://klasma.github.io/Logging_0181/klagomålsmail/A 41702-2025 FSC-klagomål mail.docx", "A 41702-2025")</f>
        <v/>
      </c>
      <c r="AC50">
        <f>HYPERLINK("https://klasma.github.io/Logging_0181/tillsyn/A 41702-2025 tillsynsbegäran.docx", "A 41702-2025")</f>
        <v/>
      </c>
      <c r="AD50">
        <f>HYPERLINK("https://klasma.github.io/Logging_0181/tillsynsmail/A 41702-2025 tillsynsbegäran mail.docx", "A 41702-2025")</f>
        <v/>
      </c>
      <c r="AE50">
        <f>HYPERLINK("https://klasma.github.io/Logging_0181/fåglar/A 41702-2025 prioriterade fågelarter.docx", "A 41702-2025")</f>
        <v/>
      </c>
    </row>
    <row r="51" ht="15" customHeight="1">
      <c r="A51" t="inlineStr">
        <is>
          <t>A 32044-2023</t>
        </is>
      </c>
      <c r="B51" t="inlineStr">
        <is>
          <t>avverkningsanmälan</t>
        </is>
      </c>
      <c r="C51" t="inlineStr">
        <is>
          <t>Föryngringsavverkning</t>
        </is>
      </c>
      <c r="D51" s="1" t="n">
        <v>45119</v>
      </c>
      <c r="E51" s="1" t="n">
        <v>46302</v>
      </c>
      <c r="F51" t="inlineStr">
        <is>
          <t>STOCKHOLMS LÄN</t>
        </is>
      </c>
      <c r="G51" t="inlineStr">
        <is>
          <t>SÖDERTÄLJE</t>
        </is>
      </c>
      <c r="H51" t="inlineStr">
        <is>
          <t>Sveaskog</t>
        </is>
      </c>
      <c r="I51" t="n">
        <v>1.1</v>
      </c>
      <c r="J51" t="n">
        <v>0</v>
      </c>
      <c r="K51" t="n">
        <v>0</v>
      </c>
      <c r="L51" t="n">
        <v>1</v>
      </c>
      <c r="M51" t="n">
        <v>0</v>
      </c>
      <c r="N51" t="n">
        <v>0</v>
      </c>
      <c r="O51" t="n">
        <v>0</v>
      </c>
      <c r="P51" t="n">
        <v>0</v>
      </c>
      <c r="Q51" t="n">
        <v>1</v>
      </c>
      <c r="R51" t="n">
        <v>0</v>
      </c>
      <c r="S51" t="n">
        <v>1</v>
      </c>
      <c r="T51" t="n">
        <v>2</v>
      </c>
      <c r="U51" t="n">
        <v>0</v>
      </c>
      <c r="V51" s="2" t="inlineStr">
        <is>
          <t>Slåtterfibbla</t>
        </is>
      </c>
      <c r="W51">
        <f>HYPERLINK("https://klasma.github.io/Logging_0181/artfynd/A 32044-2023 artfynd.xlsx", "A 32044-2023")</f>
        <v/>
      </c>
      <c r="X51">
        <f>HYPERLINK("https://klasma.github.io/Logging_0181/kartor/A 32044-2023 karta.png", "A 32044-2023")</f>
        <v/>
      </c>
      <c r="Y51">
        <f>HYPERLINK("https://klasma.github.io/Logging_0181/kartor_geotiff/A 32044-2023 georefererad karta.tif", "A 32044-2023")</f>
        <v/>
      </c>
      <c r="AA51">
        <f>HYPERLINK("https://klasma.github.io/Logging_0181/klagomål/A 32044-2023 FSC-klagomål.docx", "A 32044-2023")</f>
        <v/>
      </c>
      <c r="AB51">
        <f>HYPERLINK("https://klasma.github.io/Logging_0181/klagomålsmail/A 32044-2023 FSC-klagomål mail.docx", "A 32044-2023")</f>
        <v/>
      </c>
      <c r="AC51">
        <f>HYPERLINK("https://klasma.github.io/Logging_0181/tillsyn/A 32044-2023 tillsynsbegäran.docx", "A 32044-2023")</f>
        <v/>
      </c>
      <c r="AD51">
        <f>HYPERLINK("https://klasma.github.io/Logging_0181/tillsynsmail/A 32044-2023 tillsynsbegäran mail.docx", "A 32044-2023")</f>
        <v/>
      </c>
    </row>
    <row r="52" ht="15" customHeight="1">
      <c r="A52" t="inlineStr">
        <is>
          <t>A 36502-2025</t>
        </is>
      </c>
      <c r="B52" t="inlineStr">
        <is>
          <t>avverkningsanmälan</t>
        </is>
      </c>
      <c r="C52" t="inlineStr">
        <is>
          <t>Föryngringsavverkning</t>
        </is>
      </c>
      <c r="D52" s="1" t="n">
        <v>45869</v>
      </c>
      <c r="E52" s="1" t="n">
        <v>46302</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46302</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12968-2024</t>
        </is>
      </c>
      <c r="B54" t="inlineStr">
        <is>
          <t>avverkningsanmälan</t>
        </is>
      </c>
      <c r="C54" t="inlineStr">
        <is>
          <t>Föryngringsavverkning</t>
        </is>
      </c>
      <c r="D54" s="1" t="n">
        <v>45385</v>
      </c>
      <c r="E54" s="1" t="n">
        <v>46302</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51087-2023</t>
        </is>
      </c>
      <c r="B55" t="inlineStr">
        <is>
          <t>avverkningsanmälan</t>
        </is>
      </c>
      <c r="C55" t="inlineStr">
        <is>
          <t>Föryngringsavverkning</t>
        </is>
      </c>
      <c r="D55" s="1" t="n">
        <v>45218</v>
      </c>
      <c r="E55" s="1" t="n">
        <v>46302</v>
      </c>
      <c r="F55" t="inlineStr">
        <is>
          <t>STOCKHOLMS LÄN</t>
        </is>
      </c>
      <c r="G55" t="inlineStr">
        <is>
          <t>SÖDERTÄLJE</t>
        </is>
      </c>
      <c r="I55" t="n">
        <v>4.2</v>
      </c>
      <c r="J55" t="n">
        <v>1</v>
      </c>
      <c r="K55" t="n">
        <v>0</v>
      </c>
      <c r="L55" t="n">
        <v>0</v>
      </c>
      <c r="M55" t="n">
        <v>0</v>
      </c>
      <c r="N55" t="n">
        <v>0</v>
      </c>
      <c r="O55" t="n">
        <v>0</v>
      </c>
      <c r="P55" t="n">
        <v>0</v>
      </c>
      <c r="Q55" t="n">
        <v>0</v>
      </c>
      <c r="R55" t="n">
        <v>0</v>
      </c>
      <c r="S55" t="n">
        <v>1</v>
      </c>
      <c r="T55" t="n">
        <v>1</v>
      </c>
      <c r="U55" t="n">
        <v>1</v>
      </c>
      <c r="V55" s="2" t="inlineStr">
        <is>
          <t>Kopparödla</t>
        </is>
      </c>
      <c r="W55">
        <f>HYPERLINK("https://klasma.github.io/Logging_0181/artfynd/A 51087-2023 artfynd.xlsx", "A 51087-2023")</f>
        <v/>
      </c>
      <c r="X55">
        <f>HYPERLINK("https://klasma.github.io/Logging_0181/kartor/A 51087-2023 karta.png", "A 51087-2023")</f>
        <v/>
      </c>
      <c r="Y55">
        <f>HYPERLINK("https://klasma.github.io/Logging_0181/kartor_geotiff/A 51087-2023 georefererad karta.tif", "A 51087-2023")</f>
        <v/>
      </c>
      <c r="AA55">
        <f>HYPERLINK("https://klasma.github.io/Logging_0181/klagomål/A 51087-2023 FSC-klagomål.docx", "A 51087-2023")</f>
        <v/>
      </c>
      <c r="AB55">
        <f>HYPERLINK("https://klasma.github.io/Logging_0181/klagomålsmail/A 51087-2023 FSC-klagomål mail.docx", "A 51087-2023")</f>
        <v/>
      </c>
      <c r="AC55">
        <f>HYPERLINK("https://klasma.github.io/Logging_0181/tillsyn/A 51087-2023 tillsynsbegäran.docx", "A 51087-2023")</f>
        <v/>
      </c>
      <c r="AD55">
        <f>HYPERLINK("https://klasma.github.io/Logging_0181/tillsynsmail/A 51087-2023 tillsynsbegäran mail.docx", "A 51087-2023")</f>
        <v/>
      </c>
    </row>
    <row r="56" ht="15" customHeight="1">
      <c r="A56" t="inlineStr">
        <is>
          <t>A 30565-2026</t>
        </is>
      </c>
      <c r="B56" t="inlineStr">
        <is>
          <t>avverkningsanmälan</t>
        </is>
      </c>
      <c r="C56" t="inlineStr">
        <is>
          <t>Föryngringsavverkning</t>
        </is>
      </c>
      <c r="D56" s="1" t="n">
        <v>46210</v>
      </c>
      <c r="E56" s="1" t="n">
        <v>46302</v>
      </c>
      <c r="F56" t="inlineStr">
        <is>
          <t>STOCKHOLMS LÄN</t>
        </is>
      </c>
      <c r="G56" t="inlineStr">
        <is>
          <t>SÖDERTÄLJE</t>
        </is>
      </c>
      <c r="H56" t="inlineStr">
        <is>
          <t>Sveaskog</t>
        </is>
      </c>
      <c r="I56" t="n">
        <v>2.4</v>
      </c>
      <c r="J56" t="n">
        <v>0</v>
      </c>
      <c r="K56" t="n">
        <v>0</v>
      </c>
      <c r="L56" t="n">
        <v>1</v>
      </c>
      <c r="M56" t="n">
        <v>0</v>
      </c>
      <c r="N56" t="n">
        <v>0</v>
      </c>
      <c r="O56" t="n">
        <v>0</v>
      </c>
      <c r="P56" t="n">
        <v>0</v>
      </c>
      <c r="Q56" t="n">
        <v>1</v>
      </c>
      <c r="R56" t="n">
        <v>0</v>
      </c>
      <c r="S56" t="n">
        <v>1</v>
      </c>
      <c r="T56" t="n">
        <v>1</v>
      </c>
      <c r="U56" t="n">
        <v>0</v>
      </c>
      <c r="V56" s="2" t="inlineStr">
        <is>
          <t>Svinrot</t>
        </is>
      </c>
      <c r="W56">
        <f>HYPERLINK("https://klasma.github.io/Logging_0181/artfynd/A 30565-2026 artfynd.xlsx", "A 30565-2026")</f>
        <v/>
      </c>
      <c r="X56">
        <f>HYPERLINK("https://klasma.github.io/Logging_0181/kartor/A 30565-2026 karta.png", "A 30565-2026")</f>
        <v/>
      </c>
      <c r="Y56">
        <f>HYPERLINK("https://klasma.github.io/Logging_0181/kartor_geotiff/A 30565-2026 georefererad karta.tif", "A 30565-2026")</f>
        <v/>
      </c>
      <c r="AA56">
        <f>HYPERLINK("https://klasma.github.io/Logging_0181/klagomål/A 30565-2026 FSC-klagomål.docx", "A 30565-2026")</f>
        <v/>
      </c>
      <c r="AB56">
        <f>HYPERLINK("https://klasma.github.io/Logging_0181/klagomålsmail/A 30565-2026 FSC-klagomål mail.docx", "A 30565-2026")</f>
        <v/>
      </c>
      <c r="AC56">
        <f>HYPERLINK("https://klasma.github.io/Logging_0181/tillsyn/A 30565-2026 tillsynsbegäran.docx", "A 30565-2026")</f>
        <v/>
      </c>
      <c r="AD56">
        <f>HYPERLINK("https://klasma.github.io/Logging_0181/tillsynsmail/A 30565-2026 tillsynsbegäran mail.docx", "A 30565-2026")</f>
        <v/>
      </c>
    </row>
    <row r="57" ht="15" customHeight="1">
      <c r="A57" t="inlineStr">
        <is>
          <t>A 14092-2023</t>
        </is>
      </c>
      <c r="B57" t="inlineStr">
        <is>
          <t>avverkningsanmälan</t>
        </is>
      </c>
      <c r="C57" t="inlineStr">
        <is>
          <t>Föryngringsavverkning</t>
        </is>
      </c>
      <c r="D57" s="1" t="n">
        <v>45009</v>
      </c>
      <c r="E57" s="1" t="n">
        <v>46302</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46302</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32522-2026</t>
        </is>
      </c>
      <c r="B59" t="inlineStr">
        <is>
          <t>avverkningsanmälan</t>
        </is>
      </c>
      <c r="C59" t="inlineStr">
        <is>
          <t>Föryngringsavverkning</t>
        </is>
      </c>
      <c r="D59" s="1" t="n">
        <v>46239</v>
      </c>
      <c r="E59" s="1" t="n">
        <v>46302</v>
      </c>
      <c r="F59" t="inlineStr">
        <is>
          <t>STOCKHOLMS LÄN</t>
        </is>
      </c>
      <c r="G59" t="inlineStr">
        <is>
          <t>SÖDERTÄLJE</t>
        </is>
      </c>
      <c r="I59" t="n">
        <v>4.3</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HYPERLINK("https://klasma.github.io/Logging_0181/artfynd/A 32522-2026 artfynd.xlsx", "A 32522-2026")</f>
        <v/>
      </c>
      <c r="X59">
        <f>HYPERLINK("https://klasma.github.io/Logging_0181/kartor/A 32522-2026 karta.png", "A 32522-2026")</f>
        <v/>
      </c>
      <c r="Y59">
        <f>HYPERLINK("https://klasma.github.io/Logging_0181/kartor_geotiff/A 32522-2026 georefererad karta.tif", "A 32522-2026")</f>
        <v/>
      </c>
      <c r="AA59">
        <f>HYPERLINK("https://klasma.github.io/Logging_0181/klagomål/A 32522-2026 FSC-klagomål.docx", "A 32522-2026")</f>
        <v/>
      </c>
      <c r="AB59">
        <f>HYPERLINK("https://klasma.github.io/Logging_0181/klagomålsmail/A 32522-2026 FSC-klagomål mail.docx", "A 32522-2026")</f>
        <v/>
      </c>
      <c r="AC59">
        <f>HYPERLINK("https://klasma.github.io/Logging_0181/tillsyn/A 32522-2026 tillsynsbegäran.docx", "A 32522-2026")</f>
        <v/>
      </c>
      <c r="AD59">
        <f>HYPERLINK("https://klasma.github.io/Logging_0181/tillsynsmail/A 32522-2026 tillsynsbegäran mail.docx", "A 32522-2026")</f>
        <v/>
      </c>
    </row>
    <row r="60" ht="15" customHeight="1">
      <c r="A60" t="inlineStr">
        <is>
          <t>A 1946-2022</t>
        </is>
      </c>
      <c r="B60" t="inlineStr">
        <is>
          <t>avverkningsanmälan</t>
        </is>
      </c>
      <c r="C60" t="inlineStr">
        <is>
          <t>Föryngringsavverkning</t>
        </is>
      </c>
      <c r="D60" s="1" t="n">
        <v>44575</v>
      </c>
      <c r="E60" s="1" t="n">
        <v>46302</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46302</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46302</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46302</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46302</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46302</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S 2459-2025</t>
        </is>
      </c>
      <c r="B66" t="inlineStr">
        <is>
          <t>samrådsanmälan</t>
        </is>
      </c>
      <c r="C66" t="inlineStr">
        <is>
          <t>Annan skogsbruksåtgärd</t>
        </is>
      </c>
      <c r="D66" s="1" t="n">
        <v>45901</v>
      </c>
      <c r="E66" s="1" t="n">
        <v>46302</v>
      </c>
      <c r="F66" t="inlineStr">
        <is>
          <t>STOCKHOLMS LÄN</t>
        </is>
      </c>
      <c r="G66" t="inlineStr">
        <is>
          <t>SÖDERTÄLJE</t>
        </is>
      </c>
      <c r="I66" t="n">
        <v>1.4</v>
      </c>
      <c r="J66" t="n">
        <v>1</v>
      </c>
      <c r="K66" t="n">
        <v>0</v>
      </c>
      <c r="L66" t="n">
        <v>1</v>
      </c>
      <c r="M66" t="n">
        <v>0</v>
      </c>
      <c r="N66" t="n">
        <v>0</v>
      </c>
      <c r="O66" t="n">
        <v>0</v>
      </c>
      <c r="P66" t="n">
        <v>0</v>
      </c>
      <c r="Q66" t="n">
        <v>1</v>
      </c>
      <c r="R66" t="n">
        <v>0</v>
      </c>
      <c r="S66" t="n">
        <v>1</v>
      </c>
      <c r="T66" t="n">
        <v>1</v>
      </c>
      <c r="U66" t="n">
        <v>0</v>
      </c>
      <c r="V66" s="2" t="inlineStr">
        <is>
          <t>Enkelbeckasin</t>
        </is>
      </c>
      <c r="W66">
        <f>HYPERLINK("https://klasma.github.io/Logging_0181/artfynd/S 2459-2025 artfynd.xlsx", "S 2459-2025")</f>
        <v/>
      </c>
      <c r="X66">
        <f>HYPERLINK("https://klasma.github.io/Logging_0181/kartor/S 2459-2025 karta.png", "S 2459-2025")</f>
        <v/>
      </c>
      <c r="Y66">
        <f>HYPERLINK("https://klasma.github.io/Logging_0181/kartor_geotiff/S 2459-2025 georefererad karta.tif", "S 2459-2025")</f>
        <v/>
      </c>
      <c r="AA66">
        <f>HYPERLINK("https://klasma.github.io/Logging_0181/klagomål/S 2459-2025 FSC-klagomål.docx", "S 2459-2025")</f>
        <v/>
      </c>
      <c r="AB66">
        <f>HYPERLINK("https://klasma.github.io/Logging_0181/klagomålsmail/S 2459-2025 FSC-klagomål mail.docx", "S 2459-2025")</f>
        <v/>
      </c>
      <c r="AC66">
        <f>HYPERLINK("https://klasma.github.io/Logging_0181/tillsyn/S 2459-2025 tillsynsbegäran.docx", "S 2459-2025")</f>
        <v/>
      </c>
      <c r="AD66">
        <f>HYPERLINK("https://klasma.github.io/Logging_0181/tillsynsmail/S 2459-2025 tillsynsbegäran mail.docx", "S 2459-2025")</f>
        <v/>
      </c>
      <c r="AE66">
        <f>HYPERLINK("https://klasma.github.io/Logging_0181/fåglar/S 2459-2025 prioriterade fågelarter.docx", "S 2459-2025")</f>
        <v/>
      </c>
    </row>
    <row r="67" ht="15" customHeight="1">
      <c r="A67" t="inlineStr">
        <is>
          <t>A 64111-2021</t>
        </is>
      </c>
      <c r="B67" t="inlineStr">
        <is>
          <t>avverkningsanmälan</t>
        </is>
      </c>
      <c r="C67" t="inlineStr">
        <is>
          <t>Föryngringsavverkning</t>
        </is>
      </c>
      <c r="D67" s="1" t="n">
        <v>44509</v>
      </c>
      <c r="E67" s="1" t="n">
        <v>46302</v>
      </c>
      <c r="F67" t="inlineStr">
        <is>
          <t>STOCKHOLMS LÄN</t>
        </is>
      </c>
      <c r="G67" t="inlineStr">
        <is>
          <t>SÖDERTÄLJE</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52541-2022</t>
        </is>
      </c>
      <c r="B68" t="inlineStr">
        <is>
          <t>avverkningsanmälan</t>
        </is>
      </c>
      <c r="C68" t="inlineStr">
        <is>
          <t>Avverkning för annat ändamål</t>
        </is>
      </c>
      <c r="D68" s="1" t="n">
        <v>44874</v>
      </c>
      <c r="E68" s="1" t="n">
        <v>46302</v>
      </c>
      <c r="F68" t="inlineStr">
        <is>
          <t>STOCKHOLMS LÄN</t>
        </is>
      </c>
      <c r="G68" t="inlineStr">
        <is>
          <t>SÖDERTÄLJE</t>
        </is>
      </c>
      <c r="I68" t="n">
        <v>0</v>
      </c>
      <c r="J68" t="n">
        <v>0</v>
      </c>
      <c r="K68" t="n">
        <v>0</v>
      </c>
      <c r="L68" t="n">
        <v>0</v>
      </c>
      <c r="M68" t="n">
        <v>0</v>
      </c>
      <c r="N68" t="n">
        <v>0</v>
      </c>
      <c r="O68" t="n">
        <v>0</v>
      </c>
      <c r="P68" t="n">
        <v>0</v>
      </c>
      <c r="Q68" t="n">
        <v>0</v>
      </c>
      <c r="R68" t="n">
        <v>0</v>
      </c>
      <c r="S68" t="n">
        <v>0</v>
      </c>
      <c r="T68" t="n">
        <v>0</v>
      </c>
      <c r="U68" t="n">
        <v>0</v>
      </c>
      <c r="V68" s="2" t="inlineStr"/>
    </row>
    <row r="69" ht="15" customHeight="1">
      <c r="A69" t="inlineStr">
        <is>
          <t>A 3596-2022</t>
        </is>
      </c>
      <c r="B69" t="inlineStr">
        <is>
          <t>avverkningsanmälan</t>
        </is>
      </c>
      <c r="C69" t="inlineStr">
        <is>
          <t>Föryngringsavverkning</t>
        </is>
      </c>
      <c r="D69" s="1" t="n">
        <v>44586</v>
      </c>
      <c r="E69" s="1" t="n">
        <v>46302</v>
      </c>
      <c r="F69" t="inlineStr">
        <is>
          <t>STOCKHOLMS LÄN</t>
        </is>
      </c>
      <c r="G69" t="inlineStr">
        <is>
          <t>SÖDERTÄLJE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3592-2022</t>
        </is>
      </c>
      <c r="B70" t="inlineStr">
        <is>
          <t>avverkningsanmälan</t>
        </is>
      </c>
      <c r="C70" t="inlineStr">
        <is>
          <t>Föryngringsavverkning</t>
        </is>
      </c>
      <c r="D70" s="1" t="n">
        <v>44586</v>
      </c>
      <c r="E70" s="1" t="n">
        <v>46302</v>
      </c>
      <c r="F70" t="inlineStr">
        <is>
          <t>STOCKHOLMS LÄN</t>
        </is>
      </c>
      <c r="G70" t="inlineStr">
        <is>
          <t>SÖDERTÄLJE</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16437-2022</t>
        </is>
      </c>
      <c r="B71" t="inlineStr">
        <is>
          <t>avverkningsanmälan</t>
        </is>
      </c>
      <c r="C71" t="inlineStr">
        <is>
          <t>Föryngringsavverkning</t>
        </is>
      </c>
      <c r="D71" s="1" t="n">
        <v>44671</v>
      </c>
      <c r="E71" s="1" t="n">
        <v>46302</v>
      </c>
      <c r="F71" t="inlineStr">
        <is>
          <t>STOCKHOLMS LÄN</t>
        </is>
      </c>
      <c r="G71" t="inlineStr">
        <is>
          <t>SÖDERTÄLJE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31429-2022</t>
        </is>
      </c>
      <c r="B72" t="inlineStr">
        <is>
          <t>avverkningsanmälan</t>
        </is>
      </c>
      <c r="C72" t="inlineStr">
        <is>
          <t>Föryngringsavverkning</t>
        </is>
      </c>
      <c r="D72" s="1" t="n">
        <v>44774</v>
      </c>
      <c r="E72" s="1" t="n">
        <v>46302</v>
      </c>
      <c r="F72" t="inlineStr">
        <is>
          <t>STOCKHOLMS LÄN</t>
        </is>
      </c>
      <c r="G72" t="inlineStr">
        <is>
          <t>SÖDERTÄLJE</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3585-2022</t>
        </is>
      </c>
      <c r="B73" t="inlineStr">
        <is>
          <t>avverkningsanmälan</t>
        </is>
      </c>
      <c r="C73" t="inlineStr">
        <is>
          <t>Föryngringsavverkning</t>
        </is>
      </c>
      <c r="D73" s="1" t="n">
        <v>44586</v>
      </c>
      <c r="E73" s="1" t="n">
        <v>46302</v>
      </c>
      <c r="F73" t="inlineStr">
        <is>
          <t>STOCKHOLMS LÄN</t>
        </is>
      </c>
      <c r="G73" t="inlineStr">
        <is>
          <t>SÖDERTÄLJE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46302</v>
      </c>
      <c r="F74" t="inlineStr">
        <is>
          <t>STOCKHOLMS LÄN</t>
        </is>
      </c>
      <c r="G74" t="inlineStr">
        <is>
          <t>SÖDERTÄLJE</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27970-2022</t>
        </is>
      </c>
      <c r="B75" t="inlineStr">
        <is>
          <t>avverkningsanmälan</t>
        </is>
      </c>
      <c r="C75" t="inlineStr">
        <is>
          <t>Föryngringsavverkning</t>
        </is>
      </c>
      <c r="D75" s="1" t="n">
        <v>44744</v>
      </c>
      <c r="E75" s="1" t="n">
        <v>46302</v>
      </c>
      <c r="F75" t="inlineStr">
        <is>
          <t>STOCKHOLMS LÄN</t>
        </is>
      </c>
      <c r="G75" t="inlineStr">
        <is>
          <t>SÖDERTÄLJE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11319-2024</t>
        </is>
      </c>
      <c r="B76" t="inlineStr">
        <is>
          <t>avverkningsanmälan</t>
        </is>
      </c>
      <c r="C76" t="inlineStr">
        <is>
          <t>Föryngringsavverkning</t>
        </is>
      </c>
      <c r="D76" s="1" t="n">
        <v>45371</v>
      </c>
      <c r="E76" s="1" t="n">
        <v>46302</v>
      </c>
      <c r="F76" t="inlineStr">
        <is>
          <t>STOCKHOLMS LÄN</t>
        </is>
      </c>
      <c r="G76" t="inlineStr">
        <is>
          <t>SÖDERTÄLJE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3382-2024</t>
        </is>
      </c>
      <c r="B77" t="inlineStr">
        <is>
          <t>avverkningsanmälan</t>
        </is>
      </c>
      <c r="C77" t="inlineStr">
        <is>
          <t>Avverkning för att bevara och utveckla /försöksver</t>
        </is>
      </c>
      <c r="D77" s="1" t="n">
        <v>45317</v>
      </c>
      <c r="E77" s="1" t="n">
        <v>46302</v>
      </c>
      <c r="F77" t="inlineStr">
        <is>
          <t>STOCKHOLMS LÄN</t>
        </is>
      </c>
      <c r="G77" t="inlineStr">
        <is>
          <t>SÖDERTÄLJE</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46302</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27969-2022</t>
        </is>
      </c>
      <c r="B79" t="inlineStr">
        <is>
          <t>avverkningsanmälan</t>
        </is>
      </c>
      <c r="C79" t="inlineStr">
        <is>
          <t>Föryngringsavverkning</t>
        </is>
      </c>
      <c r="D79" s="1" t="n">
        <v>44744</v>
      </c>
      <c r="E79" s="1" t="n">
        <v>46302</v>
      </c>
      <c r="F79" t="inlineStr">
        <is>
          <t>STOCKHOLMS LÄN</t>
        </is>
      </c>
      <c r="G79" t="inlineStr">
        <is>
          <t>SÖDERTÄLJE</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41111-2023</t>
        </is>
      </c>
      <c r="B80" t="inlineStr">
        <is>
          <t>avverkningsanmälan</t>
        </is>
      </c>
      <c r="C80" t="inlineStr">
        <is>
          <t>Föryngringsavverkning</t>
        </is>
      </c>
      <c r="D80" s="1" t="n">
        <v>45173</v>
      </c>
      <c r="E80" s="1" t="n">
        <v>46302</v>
      </c>
      <c r="F80" t="inlineStr">
        <is>
          <t>STOCKHOLMS LÄN</t>
        </is>
      </c>
      <c r="G80" t="inlineStr">
        <is>
          <t>SÖDERTÄLJE</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41115-2023</t>
        </is>
      </c>
      <c r="B81" t="inlineStr">
        <is>
          <t>avverkningsanmälan</t>
        </is>
      </c>
      <c r="C81" t="inlineStr">
        <is>
          <t>Föryngringsavverkning</t>
        </is>
      </c>
      <c r="D81" s="1" t="n">
        <v>45173</v>
      </c>
      <c r="E81" s="1" t="n">
        <v>46302</v>
      </c>
      <c r="F81" t="inlineStr">
        <is>
          <t>STOCKHOLMS LÄN</t>
        </is>
      </c>
      <c r="G81" t="inlineStr">
        <is>
          <t>SÖDERTÄLJE</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231-2026</t>
        </is>
      </c>
      <c r="B82" t="inlineStr">
        <is>
          <t>avverkningsanmälan</t>
        </is>
      </c>
      <c r="C82" t="inlineStr">
        <is>
          <t>Föryngringsavverkning</t>
        </is>
      </c>
      <c r="D82" s="1" t="n">
        <v>46027</v>
      </c>
      <c r="E82" s="1" t="n">
        <v>46302</v>
      </c>
      <c r="F82" t="inlineStr">
        <is>
          <t>STOCKHOLMS LÄN</t>
        </is>
      </c>
      <c r="G82" t="inlineStr">
        <is>
          <t>SÖDERTÄLJE</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233-2026</t>
        </is>
      </c>
      <c r="B83" t="inlineStr">
        <is>
          <t>avverkningsanmälan</t>
        </is>
      </c>
      <c r="C83" t="inlineStr">
        <is>
          <t>Föryngringsavverkning</t>
        </is>
      </c>
      <c r="D83" s="1" t="n">
        <v>46027</v>
      </c>
      <c r="E83" s="1" t="n">
        <v>46302</v>
      </c>
      <c r="F83" t="inlineStr">
        <is>
          <t>STOCKHOLMS LÄN</t>
        </is>
      </c>
      <c r="G83" t="inlineStr">
        <is>
          <t>SÖDERTÄLJE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1696-2026</t>
        </is>
      </c>
      <c r="B84" t="inlineStr">
        <is>
          <t>avverkningsanmälan</t>
        </is>
      </c>
      <c r="C84" t="inlineStr">
        <is>
          <t>Föryngringsavverkning</t>
        </is>
      </c>
      <c r="D84" s="1" t="n">
        <v>46034</v>
      </c>
      <c r="E84" s="1" t="n">
        <v>46302</v>
      </c>
      <c r="F84" t="inlineStr">
        <is>
          <t>STOCKHOLMS LÄN</t>
        </is>
      </c>
      <c r="G84" t="inlineStr">
        <is>
          <t>SÖDERTÄLJE</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1715-2026</t>
        </is>
      </c>
      <c r="B85" t="inlineStr">
        <is>
          <t>avverkningsanmälan</t>
        </is>
      </c>
      <c r="C85" t="inlineStr">
        <is>
          <t>Föryngringsavverkning</t>
        </is>
      </c>
      <c r="D85" s="1" t="n">
        <v>46034</v>
      </c>
      <c r="E85" s="1" t="n">
        <v>46302</v>
      </c>
      <c r="F85" t="inlineStr">
        <is>
          <t>STOCKHOLMS LÄN</t>
        </is>
      </c>
      <c r="G85" t="inlineStr">
        <is>
          <t>SÖDERTÄLJE</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2685-2026</t>
        </is>
      </c>
      <c r="B86" t="inlineStr">
        <is>
          <t>avverkningsanmälan</t>
        </is>
      </c>
      <c r="C86" t="inlineStr">
        <is>
          <t>Föryngringsavverkning</t>
        </is>
      </c>
      <c r="D86" s="1" t="n">
        <v>46037</v>
      </c>
      <c r="E86" s="1" t="n">
        <v>46302</v>
      </c>
      <c r="F86" t="inlineStr">
        <is>
          <t>STOCKHOLMS LÄN</t>
        </is>
      </c>
      <c r="G86" t="inlineStr">
        <is>
          <t>SÖDERTÄLJE</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28981-2023</t>
        </is>
      </c>
      <c r="B87" t="inlineStr">
        <is>
          <t>avverkningsanmälan</t>
        </is>
      </c>
      <c r="C87" t="inlineStr">
        <is>
          <t>Föryngringsavverkning</t>
        </is>
      </c>
      <c r="D87" s="1" t="n">
        <v>45104</v>
      </c>
      <c r="E87" s="1" t="n">
        <v>46302</v>
      </c>
      <c r="F87" t="inlineStr">
        <is>
          <t>STOCKHOLMS LÄN</t>
        </is>
      </c>
      <c r="G87" t="inlineStr">
        <is>
          <t>SÖDERTÄLJE</t>
        </is>
      </c>
      <c r="I87" t="n">
        <v>12.2</v>
      </c>
      <c r="J87" t="n">
        <v>0</v>
      </c>
      <c r="K87" t="n">
        <v>0</v>
      </c>
      <c r="L87" t="n">
        <v>0</v>
      </c>
      <c r="M87" t="n">
        <v>0</v>
      </c>
      <c r="N87" t="n">
        <v>0</v>
      </c>
      <c r="O87" t="n">
        <v>0</v>
      </c>
      <c r="P87" t="n">
        <v>0</v>
      </c>
      <c r="Q87" t="n">
        <v>0</v>
      </c>
      <c r="R87" t="n">
        <v>0</v>
      </c>
      <c r="S87" t="n">
        <v>0</v>
      </c>
      <c r="T87" t="n">
        <v>0</v>
      </c>
      <c r="U87" t="n">
        <v>0</v>
      </c>
      <c r="V87" s="2" t="inlineStr"/>
    </row>
    <row r="88" ht="15" customHeight="1">
      <c r="A88" t="inlineStr">
        <is>
          <t>A 7023-2026</t>
        </is>
      </c>
      <c r="B88" t="inlineStr">
        <is>
          <t>avverkningsanmälan</t>
        </is>
      </c>
      <c r="C88" t="inlineStr">
        <is>
          <t>Föryngringsavverkning</t>
        </is>
      </c>
      <c r="D88" s="1" t="n">
        <v>46057</v>
      </c>
      <c r="E88" s="1" t="n">
        <v>46302</v>
      </c>
      <c r="F88" t="inlineStr">
        <is>
          <t>STOCKHOLMS LÄN</t>
        </is>
      </c>
      <c r="G88" t="inlineStr">
        <is>
          <t>SÖDERTÄLJE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3152-2026</t>
        </is>
      </c>
      <c r="B89" t="inlineStr">
        <is>
          <t>avverkningsanmälan</t>
        </is>
      </c>
      <c r="C89" t="inlineStr">
        <is>
          <t>Avverkning för annat ändamål</t>
        </is>
      </c>
      <c r="D89" s="1" t="n">
        <v>46041</v>
      </c>
      <c r="E89" s="1" t="n">
        <v>46302</v>
      </c>
      <c r="F89" t="inlineStr">
        <is>
          <t>STOCKHOLMS LÄN</t>
        </is>
      </c>
      <c r="G89" t="inlineStr">
        <is>
          <t>SÖDERTÄLJE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9234-2026</t>
        </is>
      </c>
      <c r="B90" t="inlineStr">
        <is>
          <t>avverkningsanmälan</t>
        </is>
      </c>
      <c r="C90" t="inlineStr">
        <is>
          <t>Föryngringsavverkning</t>
        </is>
      </c>
      <c r="D90" s="1" t="n">
        <v>46070</v>
      </c>
      <c r="E90" s="1" t="n">
        <v>46302</v>
      </c>
      <c r="F90" t="inlineStr">
        <is>
          <t>STOCKHOLMS LÄN</t>
        </is>
      </c>
      <c r="G90" t="inlineStr">
        <is>
          <t>SÖDERTÄLJE</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10327-2026</t>
        </is>
      </c>
      <c r="B91" t="inlineStr">
        <is>
          <t>avverkningsanmälan</t>
        </is>
      </c>
      <c r="C91" t="inlineStr">
        <is>
          <t>Föryngringsavverkning</t>
        </is>
      </c>
      <c r="D91" s="1" t="n">
        <v>46076</v>
      </c>
      <c r="E91" s="1" t="n">
        <v>46302</v>
      </c>
      <c r="F91" t="inlineStr">
        <is>
          <t>STOCKHOLMS LÄN</t>
        </is>
      </c>
      <c r="G91" t="inlineStr">
        <is>
          <t>SÖDERTÄLJE</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10414-2026</t>
        </is>
      </c>
      <c r="B92" t="inlineStr">
        <is>
          <t>avverkningsanmälan</t>
        </is>
      </c>
      <c r="C92" t="inlineStr">
        <is>
          <t>Föryngringsavverkning</t>
        </is>
      </c>
      <c r="D92" s="1" t="n">
        <v>46077</v>
      </c>
      <c r="E92" s="1" t="n">
        <v>46302</v>
      </c>
      <c r="F92" t="inlineStr">
        <is>
          <t>STOCKHOLMS LÄN</t>
        </is>
      </c>
      <c r="G92" t="inlineStr">
        <is>
          <t>SÖDERTÄLJE</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10426-2026</t>
        </is>
      </c>
      <c r="B93" t="inlineStr">
        <is>
          <t>avverkningsanmälan</t>
        </is>
      </c>
      <c r="C93" t="inlineStr">
        <is>
          <t>Föryngringsavverkning</t>
        </is>
      </c>
      <c r="D93" s="1" t="n">
        <v>46077</v>
      </c>
      <c r="E93" s="1" t="n">
        <v>46302</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10425-2026</t>
        </is>
      </c>
      <c r="B94" t="inlineStr">
        <is>
          <t>avverkningsanmälan</t>
        </is>
      </c>
      <c r="C94" t="inlineStr">
        <is>
          <t>Föryngringsavverkning</t>
        </is>
      </c>
      <c r="D94" s="1" t="n">
        <v>46077</v>
      </c>
      <c r="E94" s="1" t="n">
        <v>46302</v>
      </c>
      <c r="F94" t="inlineStr">
        <is>
          <t>STOCKHOLMS LÄN</t>
        </is>
      </c>
      <c r="G94" t="inlineStr">
        <is>
          <t>SÖDERTÄLJE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10450-2026</t>
        </is>
      </c>
      <c r="B95" t="inlineStr">
        <is>
          <t>avverkningsanmälan</t>
        </is>
      </c>
      <c r="C95" t="inlineStr">
        <is>
          <t>Föryngringsavverkning</t>
        </is>
      </c>
      <c r="D95" s="1" t="n">
        <v>46077</v>
      </c>
      <c r="E95" s="1" t="n">
        <v>46302</v>
      </c>
      <c r="F95" t="inlineStr">
        <is>
          <t>STOCKHOLMS LÄN</t>
        </is>
      </c>
      <c r="G95" t="inlineStr">
        <is>
          <t>SÖDERTÄLJE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10452-2026</t>
        </is>
      </c>
      <c r="B96" t="inlineStr">
        <is>
          <t>avverkningsanmälan</t>
        </is>
      </c>
      <c r="C96" t="inlineStr">
        <is>
          <t>Föryngringsavverkning</t>
        </is>
      </c>
      <c r="D96" s="1" t="n">
        <v>46077</v>
      </c>
      <c r="E96" s="1" t="n">
        <v>46302</v>
      </c>
      <c r="F96" t="inlineStr">
        <is>
          <t>STOCKHOLMS LÄN</t>
        </is>
      </c>
      <c r="G96" t="inlineStr">
        <is>
          <t>SÖDERTÄLJE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10404-2026</t>
        </is>
      </c>
      <c r="B97" t="inlineStr">
        <is>
          <t>avverkningsanmälan</t>
        </is>
      </c>
      <c r="C97" t="inlineStr">
        <is>
          <t>Föryngringsavverkning</t>
        </is>
      </c>
      <c r="D97" s="1" t="n">
        <v>46077</v>
      </c>
      <c r="E97" s="1" t="n">
        <v>46302</v>
      </c>
      <c r="F97" t="inlineStr">
        <is>
          <t>STOCKHOLMS LÄN</t>
        </is>
      </c>
      <c r="G97" t="inlineStr">
        <is>
          <t>SÖDERTÄLJE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52101-2022</t>
        </is>
      </c>
      <c r="B98" t="inlineStr">
        <is>
          <t>avverkningsanmälan</t>
        </is>
      </c>
      <c r="C98" t="inlineStr">
        <is>
          <t>Avverkning för annat ändamål</t>
        </is>
      </c>
      <c r="D98" s="1" t="n">
        <v>44873</v>
      </c>
      <c r="E98" s="1" t="n">
        <v>46302</v>
      </c>
      <c r="F98" t="inlineStr">
        <is>
          <t>STOCKHOLMS LÄN</t>
        </is>
      </c>
      <c r="G98" t="inlineStr">
        <is>
          <t>SÖDERTÄLJE</t>
        </is>
      </c>
      <c r="H98" t="inlineStr">
        <is>
          <t>Kommuner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42133-2023</t>
        </is>
      </c>
      <c r="B99" t="inlineStr">
        <is>
          <t>avverkningsanmälan</t>
        </is>
      </c>
      <c r="C99" t="inlineStr">
        <is>
          <t>Föryngringsavverkning</t>
        </is>
      </c>
      <c r="D99" s="1" t="n">
        <v>45177</v>
      </c>
      <c r="E99" s="1" t="n">
        <v>46302</v>
      </c>
      <c r="F99" t="inlineStr">
        <is>
          <t>STOCKHOLMS LÄN</t>
        </is>
      </c>
      <c r="G99" t="inlineStr">
        <is>
          <t>SÖDERTÄLJE</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37844-2022</t>
        </is>
      </c>
      <c r="B100" t="inlineStr">
        <is>
          <t>avverkningsanmälan</t>
        </is>
      </c>
      <c r="C100" t="inlineStr">
        <is>
          <t>Avverkning för annat ändamål</t>
        </is>
      </c>
      <c r="D100" s="1" t="n">
        <v>44810</v>
      </c>
      <c r="E100" s="1" t="n">
        <v>46302</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12116-2026</t>
        </is>
      </c>
      <c r="B101" t="inlineStr">
        <is>
          <t>avverkningsanmälan</t>
        </is>
      </c>
      <c r="C101" t="inlineStr">
        <is>
          <t>Föryngringsavverkning</t>
        </is>
      </c>
      <c r="D101" s="1" t="n">
        <v>46086</v>
      </c>
      <c r="E101" s="1" t="n">
        <v>46302</v>
      </c>
      <c r="F101" t="inlineStr">
        <is>
          <t>STOCKHOLMS LÄN</t>
        </is>
      </c>
      <c r="G101" t="inlineStr">
        <is>
          <t>SÖDERTÄLJE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12121-2026</t>
        </is>
      </c>
      <c r="B102" t="inlineStr">
        <is>
          <t>avverkningsanmälan</t>
        </is>
      </c>
      <c r="C102" t="inlineStr">
        <is>
          <t>Föryngringsavverkning</t>
        </is>
      </c>
      <c r="D102" s="1" t="n">
        <v>46086</v>
      </c>
      <c r="E102" s="1" t="n">
        <v>46302</v>
      </c>
      <c r="F102" t="inlineStr">
        <is>
          <t>STOCKHOLMS LÄN</t>
        </is>
      </c>
      <c r="G102" t="inlineStr">
        <is>
          <t>SÖDERTÄLJE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36886-2023</t>
        </is>
      </c>
      <c r="B103" t="inlineStr">
        <is>
          <t>avverkningsanmälan</t>
        </is>
      </c>
      <c r="C103" t="inlineStr">
        <is>
          <t>Avverkning för annat ändamål</t>
        </is>
      </c>
      <c r="D103" s="1" t="n">
        <v>45154</v>
      </c>
      <c r="E103" s="1" t="n">
        <v>46302</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48046-2025</t>
        </is>
      </c>
      <c r="B104" t="inlineStr">
        <is>
          <t>avverkningsanmälan</t>
        </is>
      </c>
      <c r="C104" t="inlineStr">
        <is>
          <t>Föryngringsavverkning</t>
        </is>
      </c>
      <c r="D104" s="1" t="n">
        <v>45932</v>
      </c>
      <c r="E104" s="1" t="n">
        <v>46302</v>
      </c>
      <c r="F104" t="inlineStr">
        <is>
          <t>STOCKHOLMS LÄN</t>
        </is>
      </c>
      <c r="G104" t="inlineStr">
        <is>
          <t>SÖDERTÄLJE</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4443-2023</t>
        </is>
      </c>
      <c r="B105" t="inlineStr">
        <is>
          <t>avverkningsanmälan</t>
        </is>
      </c>
      <c r="C105" t="inlineStr">
        <is>
          <t>Föryngringsavverkning</t>
        </is>
      </c>
      <c r="D105" s="1" t="n">
        <v>44956</v>
      </c>
      <c r="E105" s="1" t="n">
        <v>46302</v>
      </c>
      <c r="F105" t="inlineStr">
        <is>
          <t>STOCKHOLMS LÄN</t>
        </is>
      </c>
      <c r="G105" t="inlineStr">
        <is>
          <t>SÖDERTÄLJE</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13943-2026</t>
        </is>
      </c>
      <c r="B106" t="inlineStr">
        <is>
          <t>avverkningsanmälan</t>
        </is>
      </c>
      <c r="C106" t="inlineStr">
        <is>
          <t>Föryngringsavverkning</t>
        </is>
      </c>
      <c r="D106" s="1" t="n">
        <v>46098</v>
      </c>
      <c r="E106" s="1" t="n">
        <v>46302</v>
      </c>
      <c r="F106" t="inlineStr">
        <is>
          <t>STOCKHOLMS LÄN</t>
        </is>
      </c>
      <c r="G106" t="inlineStr">
        <is>
          <t>SÖDERTÄLJE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15964-2026</t>
        </is>
      </c>
      <c r="B107" t="inlineStr">
        <is>
          <t>avverkningsanmälan</t>
        </is>
      </c>
      <c r="C107" t="inlineStr">
        <is>
          <t>Föryngringsavverkning</t>
        </is>
      </c>
      <c r="D107" s="1" t="n">
        <v>46108</v>
      </c>
      <c r="E107" s="1" t="n">
        <v>46302</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28982-2024</t>
        </is>
      </c>
      <c r="B108" t="inlineStr">
        <is>
          <t>avverkningsanmälan</t>
        </is>
      </c>
      <c r="C108" t="inlineStr">
        <is>
          <t>Avverkning för annat ändamål</t>
        </is>
      </c>
      <c r="D108" s="1" t="n">
        <v>45481</v>
      </c>
      <c r="E108" s="1" t="n">
        <v>46302</v>
      </c>
      <c r="F108" t="inlineStr">
        <is>
          <t>STOCKHOLMS LÄN</t>
        </is>
      </c>
      <c r="G108" t="inlineStr">
        <is>
          <t>SÖDERTÄLJE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19071-2026</t>
        </is>
      </c>
      <c r="B109" t="inlineStr">
        <is>
          <t>avverkningsanmälan</t>
        </is>
      </c>
      <c r="C109" t="inlineStr">
        <is>
          <t>Föryngringsavverkning</t>
        </is>
      </c>
      <c r="D109" s="1" t="n">
        <v>46132</v>
      </c>
      <c r="E109" s="1" t="n">
        <v>46302</v>
      </c>
      <c r="F109" t="inlineStr">
        <is>
          <t>STOCKHOLMS LÄN</t>
        </is>
      </c>
      <c r="G109" t="inlineStr">
        <is>
          <t>SÖDERTÄLJE</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19078-2026</t>
        </is>
      </c>
      <c r="B110" t="inlineStr">
        <is>
          <t>avverkningsanmälan</t>
        </is>
      </c>
      <c r="C110" t="inlineStr">
        <is>
          <t>Föryngringsavverkning</t>
        </is>
      </c>
      <c r="D110" s="1" t="n">
        <v>46132</v>
      </c>
      <c r="E110" s="1" t="n">
        <v>46302</v>
      </c>
      <c r="F110" t="inlineStr">
        <is>
          <t>STOCKHOLMS LÄN</t>
        </is>
      </c>
      <c r="G110" t="inlineStr">
        <is>
          <t>SÖDERTÄLJE</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92-2024</t>
        </is>
      </c>
      <c r="B111" t="inlineStr">
        <is>
          <t>avverkningsanmälan</t>
        </is>
      </c>
      <c r="C111" t="inlineStr">
        <is>
          <t>Föryngringsavverkning</t>
        </is>
      </c>
      <c r="D111" s="1" t="n">
        <v>45293</v>
      </c>
      <c r="E111" s="1" t="n">
        <v>46302</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12907-2024</t>
        </is>
      </c>
      <c r="B112" t="inlineStr">
        <is>
          <t>avverkningsanmälan</t>
        </is>
      </c>
      <c r="C112" t="inlineStr">
        <is>
          <t>Föryngringsavverkning</t>
        </is>
      </c>
      <c r="D112" s="1" t="n">
        <v>45385</v>
      </c>
      <c r="E112" s="1" t="n">
        <v>46302</v>
      </c>
      <c r="F112" t="inlineStr">
        <is>
          <t>STOCKHOLMS LÄN</t>
        </is>
      </c>
      <c r="G112" t="inlineStr">
        <is>
          <t>SÖDERTÄLJE</t>
        </is>
      </c>
      <c r="I112" t="n">
        <v>11.9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26909-2024</t>
        </is>
      </c>
      <c r="B113" t="inlineStr">
        <is>
          <t>avverkningsanmälan</t>
        </is>
      </c>
      <c r="C113" t="inlineStr">
        <is>
          <t>Föryngringsavverkning</t>
        </is>
      </c>
      <c r="D113" s="1" t="n">
        <v>45470</v>
      </c>
      <c r="E113" s="1" t="n">
        <v>46302</v>
      </c>
      <c r="F113" t="inlineStr">
        <is>
          <t>STOCKHOLMS LÄN</t>
        </is>
      </c>
      <c r="G113" t="inlineStr">
        <is>
          <t>SÖDERTÄLJE</t>
        </is>
      </c>
      <c r="H113" t="inlineStr">
        <is>
          <t>Kommuner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28502-2023</t>
        </is>
      </c>
      <c r="B114" t="inlineStr">
        <is>
          <t>avverkningsanmälan</t>
        </is>
      </c>
      <c r="C114" t="inlineStr">
        <is>
          <t>Föryngringsavverkning</t>
        </is>
      </c>
      <c r="D114" s="1" t="n">
        <v>45103</v>
      </c>
      <c r="E114" s="1" t="n">
        <v>46302</v>
      </c>
      <c r="F114" t="inlineStr">
        <is>
          <t>STOCKHOLMS LÄN</t>
        </is>
      </c>
      <c r="G114" t="inlineStr">
        <is>
          <t>SÖDERTÄLJE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8611-2023</t>
        </is>
      </c>
      <c r="B115" t="inlineStr">
        <is>
          <t>avverkningsanmälan</t>
        </is>
      </c>
      <c r="C115" t="inlineStr">
        <is>
          <t>Avverkning för annat ändamål</t>
        </is>
      </c>
      <c r="D115" s="1" t="n">
        <v>44977</v>
      </c>
      <c r="E115" s="1" t="n">
        <v>46302</v>
      </c>
      <c r="F115" t="inlineStr">
        <is>
          <t>STOCKHOLMS LÄN</t>
        </is>
      </c>
      <c r="G115" t="inlineStr">
        <is>
          <t>SÖDERTÄLJE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46302</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25412-2025</t>
        </is>
      </c>
      <c r="B117" t="inlineStr">
        <is>
          <t>avverkningsanmälan</t>
        </is>
      </c>
      <c r="C117" t="inlineStr">
        <is>
          <t>Föryngringsavverkning</t>
        </is>
      </c>
      <c r="D117" s="1" t="n">
        <v>45799</v>
      </c>
      <c r="E117" s="1" t="n">
        <v>46302</v>
      </c>
      <c r="F117" t="inlineStr">
        <is>
          <t>STOCKHOLMS LÄN</t>
        </is>
      </c>
      <c r="G117" t="inlineStr">
        <is>
          <t>SÖDERTÄLJE</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25415-2025</t>
        </is>
      </c>
      <c r="B118" t="inlineStr">
        <is>
          <t>avverkningsanmälan</t>
        </is>
      </c>
      <c r="C118" t="inlineStr">
        <is>
          <t>Föryngringsavverkning</t>
        </is>
      </c>
      <c r="D118" s="1" t="n">
        <v>45799</v>
      </c>
      <c r="E118" s="1" t="n">
        <v>46302</v>
      </c>
      <c r="F118" t="inlineStr">
        <is>
          <t>STOCKHOLMS LÄN</t>
        </is>
      </c>
      <c r="G118" t="inlineStr">
        <is>
          <t>SÖDERTÄLJE</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20603-2026</t>
        </is>
      </c>
      <c r="B119" t="inlineStr">
        <is>
          <t>avverkningsanmälan</t>
        </is>
      </c>
      <c r="C119" t="inlineStr">
        <is>
          <t>Föryngringsavverkning</t>
        </is>
      </c>
      <c r="D119" s="1" t="n">
        <v>46140</v>
      </c>
      <c r="E119" s="1" t="n">
        <v>46302</v>
      </c>
      <c r="F119" t="inlineStr">
        <is>
          <t>STOCKHOLMS LÄN</t>
        </is>
      </c>
      <c r="G119" t="inlineStr">
        <is>
          <t>SÖDERTÄLJE</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18592-2023</t>
        </is>
      </c>
      <c r="B120" t="inlineStr">
        <is>
          <t>avverkningsanmälan</t>
        </is>
      </c>
      <c r="C120" t="inlineStr">
        <is>
          <t>Föryngringsavverkning</t>
        </is>
      </c>
      <c r="D120" s="1" t="n">
        <v>45043</v>
      </c>
      <c r="E120" s="1" t="n">
        <v>46302</v>
      </c>
      <c r="F120" t="inlineStr">
        <is>
          <t>STOCKHOLMS LÄN</t>
        </is>
      </c>
      <c r="G120" t="inlineStr">
        <is>
          <t>SÖDERTÄLJE</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62047-2025</t>
        </is>
      </c>
      <c r="B121" t="inlineStr">
        <is>
          <t>avverkningsanmälan</t>
        </is>
      </c>
      <c r="C121" t="inlineStr">
        <is>
          <t>Föryngringsavverkning</t>
        </is>
      </c>
      <c r="D121" s="1" t="n">
        <v>46006</v>
      </c>
      <c r="E121" s="1" t="n">
        <v>46302</v>
      </c>
      <c r="F121" t="inlineStr">
        <is>
          <t>STOCKHOLMS LÄN</t>
        </is>
      </c>
      <c r="G121" t="inlineStr">
        <is>
          <t>SÖDERTÄLJE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62049-2025</t>
        </is>
      </c>
      <c r="B122" t="inlineStr">
        <is>
          <t>avverkningsanmälan</t>
        </is>
      </c>
      <c r="C122" t="inlineStr">
        <is>
          <t>Föryngringsavverkning</t>
        </is>
      </c>
      <c r="D122" s="1" t="n">
        <v>46006</v>
      </c>
      <c r="E122" s="1" t="n">
        <v>46302</v>
      </c>
      <c r="F122" t="inlineStr">
        <is>
          <t>STOCKHOLMS LÄN</t>
        </is>
      </c>
      <c r="G122" t="inlineStr">
        <is>
          <t>SÖDERTÄLJE</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20582-2026</t>
        </is>
      </c>
      <c r="B123" t="inlineStr">
        <is>
          <t>avverkningsanmälan</t>
        </is>
      </c>
      <c r="C123" t="inlineStr">
        <is>
          <t>Föryngringsavverkning</t>
        </is>
      </c>
      <c r="D123" s="1" t="n">
        <v>46140</v>
      </c>
      <c r="E123" s="1" t="n">
        <v>46302</v>
      </c>
      <c r="F123" t="inlineStr">
        <is>
          <t>STOCKHOLMS LÄN</t>
        </is>
      </c>
      <c r="G123" t="inlineStr">
        <is>
          <t>SÖDERTÄLJE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20596-2026</t>
        </is>
      </c>
      <c r="B124" t="inlineStr">
        <is>
          <t>avverkningsanmälan</t>
        </is>
      </c>
      <c r="C124" t="inlineStr">
        <is>
          <t>Föryngringsavverkning</t>
        </is>
      </c>
      <c r="D124" s="1" t="n">
        <v>46140</v>
      </c>
      <c r="E124" s="1" t="n">
        <v>46302</v>
      </c>
      <c r="F124" t="inlineStr">
        <is>
          <t>STOCKHOLMS LÄN</t>
        </is>
      </c>
      <c r="G124" t="inlineStr">
        <is>
          <t>SÖDERTÄLJE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20579-2026</t>
        </is>
      </c>
      <c r="B125" t="inlineStr">
        <is>
          <t>avverkningsanmälan</t>
        </is>
      </c>
      <c r="C125" t="inlineStr">
        <is>
          <t>Föryngringsavverkning</t>
        </is>
      </c>
      <c r="D125" s="1" t="n">
        <v>46140</v>
      </c>
      <c r="E125" s="1" t="n">
        <v>46302</v>
      </c>
      <c r="F125" t="inlineStr">
        <is>
          <t>STOCKHOLMS LÄN</t>
        </is>
      </c>
      <c r="G125" t="inlineStr">
        <is>
          <t>SÖDERTÄLJE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20591-2026</t>
        </is>
      </c>
      <c r="B126" t="inlineStr">
        <is>
          <t>avverkningsanmälan</t>
        </is>
      </c>
      <c r="C126" t="inlineStr">
        <is>
          <t>Föryngringsavverkning</t>
        </is>
      </c>
      <c r="D126" s="1" t="n">
        <v>46140</v>
      </c>
      <c r="E126" s="1" t="n">
        <v>46302</v>
      </c>
      <c r="F126" t="inlineStr">
        <is>
          <t>STOCKHOLMS LÄN</t>
        </is>
      </c>
      <c r="G126" t="inlineStr">
        <is>
          <t>SÖDERTÄLJE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234-2026</t>
        </is>
      </c>
      <c r="B127" t="inlineStr">
        <is>
          <t>avverkningsanmälan</t>
        </is>
      </c>
      <c r="C127" t="inlineStr">
        <is>
          <t>Föryngringsavverkning</t>
        </is>
      </c>
      <c r="D127" s="1" t="n">
        <v>46027</v>
      </c>
      <c r="E127" s="1" t="n">
        <v>46302</v>
      </c>
      <c r="F127" t="inlineStr">
        <is>
          <t>STOCKHOLMS LÄN</t>
        </is>
      </c>
      <c r="G127" t="inlineStr">
        <is>
          <t>SÖDERTÄLJE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243-2026</t>
        </is>
      </c>
      <c r="B128" t="inlineStr">
        <is>
          <t>avverkningsanmälan</t>
        </is>
      </c>
      <c r="C128" t="inlineStr">
        <is>
          <t>Föryngringsavverkning</t>
        </is>
      </c>
      <c r="D128" s="1" t="n">
        <v>46027</v>
      </c>
      <c r="E128" s="1" t="n">
        <v>46302</v>
      </c>
      <c r="F128" t="inlineStr">
        <is>
          <t>STOCKHOLMS LÄN</t>
        </is>
      </c>
      <c r="G128" t="inlineStr">
        <is>
          <t>SÖDERTÄLJE</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1381-2023</t>
        </is>
      </c>
      <c r="B129" t="inlineStr">
        <is>
          <t>avverkningsanmälan</t>
        </is>
      </c>
      <c r="C129" t="inlineStr">
        <is>
          <t>Föryngringsavverkning</t>
        </is>
      </c>
      <c r="D129" s="1" t="n">
        <v>44936</v>
      </c>
      <c r="E129" s="1" t="n">
        <v>46302</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21483-2026</t>
        </is>
      </c>
      <c r="B130" t="inlineStr">
        <is>
          <t>avverkningsanmälan</t>
        </is>
      </c>
      <c r="C130" t="inlineStr">
        <is>
          <t>Avverkning för annat ändamål</t>
        </is>
      </c>
      <c r="D130" s="1" t="n">
        <v>46148</v>
      </c>
      <c r="E130" s="1" t="n">
        <v>46302</v>
      </c>
      <c r="F130" t="inlineStr">
        <is>
          <t>STOCKHOLMS LÄN</t>
        </is>
      </c>
      <c r="G130" t="inlineStr">
        <is>
          <t>SÖDERTÄLJE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10446-2026</t>
        </is>
      </c>
      <c r="B131" t="inlineStr">
        <is>
          <t>avverkningsanmälan</t>
        </is>
      </c>
      <c r="C131" t="inlineStr">
        <is>
          <t>Föryngringsavverkning</t>
        </is>
      </c>
      <c r="D131" s="1" t="n">
        <v>46077</v>
      </c>
      <c r="E131" s="1" t="n">
        <v>46302</v>
      </c>
      <c r="F131" t="inlineStr">
        <is>
          <t>STOCKHOLMS LÄN</t>
        </is>
      </c>
      <c r="G131" t="inlineStr">
        <is>
          <t>SÖDERTÄLJE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56354-2023</t>
        </is>
      </c>
      <c r="B132" t="inlineStr">
        <is>
          <t>avverkningsanmälan</t>
        </is>
      </c>
      <c r="C132" t="inlineStr">
        <is>
          <t>Föryngringsavverkning</t>
        </is>
      </c>
      <c r="D132" s="1" t="n">
        <v>45243</v>
      </c>
      <c r="E132" s="1" t="n">
        <v>46302</v>
      </c>
      <c r="F132" t="inlineStr">
        <is>
          <t>STOCKHOLMS LÄN</t>
        </is>
      </c>
      <c r="G132" t="inlineStr">
        <is>
          <t>SÖDERTÄLJE</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1150-2026</t>
        </is>
      </c>
      <c r="B133" t="inlineStr">
        <is>
          <t>avverkningsanmälan</t>
        </is>
      </c>
      <c r="C133" t="inlineStr">
        <is>
          <t>Föryngringsavverkning</t>
        </is>
      </c>
      <c r="D133" s="1" t="n">
        <v>46030</v>
      </c>
      <c r="E133" s="1" t="n">
        <v>46302</v>
      </c>
      <c r="F133" t="inlineStr">
        <is>
          <t>STOCKHOLMS LÄN</t>
        </is>
      </c>
      <c r="G133" t="inlineStr">
        <is>
          <t>SÖDERTÄLJE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25288-2026</t>
        </is>
      </c>
      <c r="B134" t="inlineStr">
        <is>
          <t>avverkningsanmälan</t>
        </is>
      </c>
      <c r="C134" t="inlineStr">
        <is>
          <t>Föryngringsavverkning</t>
        </is>
      </c>
      <c r="D134" s="1" t="n">
        <v>46176</v>
      </c>
      <c r="E134" s="1" t="n">
        <v>46302</v>
      </c>
      <c r="F134" t="inlineStr">
        <is>
          <t>STOCKHOLMS LÄN</t>
        </is>
      </c>
      <c r="G134" t="inlineStr">
        <is>
          <t>SÖDERTÄLJE</t>
        </is>
      </c>
      <c r="H134" t="inlineStr">
        <is>
          <t>Kommuner</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31375-2024</t>
        </is>
      </c>
      <c r="B135" t="inlineStr">
        <is>
          <t>avverkningsanmälan</t>
        </is>
      </c>
      <c r="C135" t="inlineStr">
        <is>
          <t>Avverkning för annat ändamål</t>
        </is>
      </c>
      <c r="D135" s="1" t="n">
        <v>45505</v>
      </c>
      <c r="E135" s="1" t="n">
        <v>46302</v>
      </c>
      <c r="F135" t="inlineStr">
        <is>
          <t>STOCKHOLMS LÄN</t>
        </is>
      </c>
      <c r="G135" t="inlineStr">
        <is>
          <t>SÖDERTÄLJE</t>
        </is>
      </c>
      <c r="H135" t="inlineStr">
        <is>
          <t>Kommuner</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27006-2026</t>
        </is>
      </c>
      <c r="B136" t="inlineStr">
        <is>
          <t>avverkningsanmälan</t>
        </is>
      </c>
      <c r="C136" t="inlineStr">
        <is>
          <t>Avverkning för annat ändamål</t>
        </is>
      </c>
      <c r="D136" s="1" t="n">
        <v>46185</v>
      </c>
      <c r="E136" s="1" t="n">
        <v>46302</v>
      </c>
      <c r="F136" t="inlineStr">
        <is>
          <t>STOCKHOLMS LÄN</t>
        </is>
      </c>
      <c r="G136" t="inlineStr">
        <is>
          <t>SÖDERTÄLJE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27257-2026</t>
        </is>
      </c>
      <c r="B137" t="inlineStr">
        <is>
          <t>avverkningsanmälan</t>
        </is>
      </c>
      <c r="C137" t="inlineStr">
        <is>
          <t>Föryngringsavverkning</t>
        </is>
      </c>
      <c r="D137" s="1" t="n">
        <v>46188</v>
      </c>
      <c r="E137" s="1" t="n">
        <v>46302</v>
      </c>
      <c r="F137" t="inlineStr">
        <is>
          <t>STOCKHOLMS LÄN</t>
        </is>
      </c>
      <c r="G137" t="inlineStr">
        <is>
          <t>SÖDERTÄLJE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954-2023</t>
        </is>
      </c>
      <c r="B138" t="inlineStr">
        <is>
          <t>avverkningsanmälan</t>
        </is>
      </c>
      <c r="C138" t="inlineStr">
        <is>
          <t>Föryngringsavverkning</t>
        </is>
      </c>
      <c r="D138" s="1" t="n">
        <v>44934</v>
      </c>
      <c r="E138" s="1" t="n">
        <v>46302</v>
      </c>
      <c r="F138" t="inlineStr">
        <is>
          <t>STOCKHOLMS LÄN</t>
        </is>
      </c>
      <c r="G138" t="inlineStr">
        <is>
          <t>SÖDERTÄLJE</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35200-2023</t>
        </is>
      </c>
      <c r="B139" t="inlineStr">
        <is>
          <t>avverkningsanmälan</t>
        </is>
      </c>
      <c r="C139" t="inlineStr">
        <is>
          <t>Föryngringsavverkning</t>
        </is>
      </c>
      <c r="D139" s="1" t="n">
        <v>45145</v>
      </c>
      <c r="E139" s="1" t="n">
        <v>46302</v>
      </c>
      <c r="F139" t="inlineStr">
        <is>
          <t>STOCKHOLMS LÄN</t>
        </is>
      </c>
      <c r="G139" t="inlineStr">
        <is>
          <t>SÖDERTÄLJE</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28175-2026</t>
        </is>
      </c>
      <c r="B140" t="inlineStr">
        <is>
          <t>avverkningsanmälan</t>
        </is>
      </c>
      <c r="C140" t="inlineStr">
        <is>
          <t>Avverkning för annat ändamål</t>
        </is>
      </c>
      <c r="D140" s="1" t="n">
        <v>46195</v>
      </c>
      <c r="E140" s="1" t="n">
        <v>46302</v>
      </c>
      <c r="F140" t="inlineStr">
        <is>
          <t>STOCKHOLMS LÄN</t>
        </is>
      </c>
      <c r="G140" t="inlineStr">
        <is>
          <t>SÖDERTÄLJE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58140-2023</t>
        </is>
      </c>
      <c r="B141" t="inlineStr">
        <is>
          <t>avverkningsanmälan</t>
        </is>
      </c>
      <c r="C141" t="inlineStr">
        <is>
          <t>Avverkning för annat ändamål</t>
        </is>
      </c>
      <c r="D141" s="1" t="n">
        <v>45250</v>
      </c>
      <c r="E141" s="1" t="n">
        <v>46302</v>
      </c>
      <c r="F141" t="inlineStr">
        <is>
          <t>STOCKHOLMS LÄN</t>
        </is>
      </c>
      <c r="G141" t="inlineStr">
        <is>
          <t>SÖDERTÄLJE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314-2022</t>
        </is>
      </c>
      <c r="B142" t="inlineStr">
        <is>
          <t>avverkningsanmälan</t>
        </is>
      </c>
      <c r="C142" t="inlineStr">
        <is>
          <t>Föryngringsavverkning</t>
        </is>
      </c>
      <c r="D142" s="1" t="n">
        <v>44564</v>
      </c>
      <c r="E142" s="1" t="n">
        <v>46302</v>
      </c>
      <c r="F142" t="inlineStr">
        <is>
          <t>STOCKHOLMS LÄN</t>
        </is>
      </c>
      <c r="G142" t="inlineStr">
        <is>
          <t>SÖDERTÄLJE</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487-2024</t>
        </is>
      </c>
      <c r="B143" t="inlineStr">
        <is>
          <t>avverkningsanmälan</t>
        </is>
      </c>
      <c r="C143" t="inlineStr">
        <is>
          <t>Föryngringsavverkning</t>
        </is>
      </c>
      <c r="D143" s="1" t="n">
        <v>45298</v>
      </c>
      <c r="E143" s="1" t="n">
        <v>46302</v>
      </c>
      <c r="F143" t="inlineStr">
        <is>
          <t>STOCKHOLMS LÄN</t>
        </is>
      </c>
      <c r="G143" t="inlineStr">
        <is>
          <t>SÖDERTÄLJE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47576-2023</t>
        </is>
      </c>
      <c r="B144" t="inlineStr">
        <is>
          <t>avverkningsanmälan</t>
        </is>
      </c>
      <c r="C144" t="inlineStr">
        <is>
          <t>Föryngringsavverkning</t>
        </is>
      </c>
      <c r="D144" s="1" t="n">
        <v>45197</v>
      </c>
      <c r="E144" s="1" t="n">
        <v>46302</v>
      </c>
      <c r="F144" t="inlineStr">
        <is>
          <t>STOCKHOLMS LÄN</t>
        </is>
      </c>
      <c r="G144" t="inlineStr">
        <is>
          <t>SÖDERTÄLJE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35906-2022</t>
        </is>
      </c>
      <c r="B145" t="inlineStr">
        <is>
          <t>avverkningsanmälan</t>
        </is>
      </c>
      <c r="C145" t="inlineStr">
        <is>
          <t>Avverkning för annat ändamål</t>
        </is>
      </c>
      <c r="D145" s="1" t="n">
        <v>44802</v>
      </c>
      <c r="E145" s="1" t="n">
        <v>46302</v>
      </c>
      <c r="F145" t="inlineStr">
        <is>
          <t>STOCKHOLMS LÄN</t>
        </is>
      </c>
      <c r="G145" t="inlineStr">
        <is>
          <t>SÖDERTÄLJE</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52815-2023</t>
        </is>
      </c>
      <c r="B146" t="inlineStr">
        <is>
          <t>avverkningsanmälan</t>
        </is>
      </c>
      <c r="C146" t="inlineStr">
        <is>
          <t>Föryngringsavverkning</t>
        </is>
      </c>
      <c r="D146" s="1" t="n">
        <v>45226</v>
      </c>
      <c r="E146" s="1" t="n">
        <v>46302</v>
      </c>
      <c r="F146" t="inlineStr">
        <is>
          <t>STOCKHOLMS LÄN</t>
        </is>
      </c>
      <c r="G146" t="inlineStr">
        <is>
          <t>SÖDERTÄLJE</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60635-2024</t>
        </is>
      </c>
      <c r="B147" t="inlineStr">
        <is>
          <t>avverkningsanmälan</t>
        </is>
      </c>
      <c r="C147" t="inlineStr">
        <is>
          <t>Föryngringsavverkning</t>
        </is>
      </c>
      <c r="D147" s="1" t="n">
        <v>45644</v>
      </c>
      <c r="E147" s="1" t="n">
        <v>46302</v>
      </c>
      <c r="F147" t="inlineStr">
        <is>
          <t>STOCKHOLMS LÄN</t>
        </is>
      </c>
      <c r="G147" t="inlineStr">
        <is>
          <t>SÖDERTÄLJE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62311-2023</t>
        </is>
      </c>
      <c r="B148" t="inlineStr">
        <is>
          <t>avverkningsanmälan</t>
        </is>
      </c>
      <c r="C148" t="inlineStr">
        <is>
          <t>Föryngringsavverkning</t>
        </is>
      </c>
      <c r="D148" s="1" t="n">
        <v>45266</v>
      </c>
      <c r="E148" s="1" t="n">
        <v>46302</v>
      </c>
      <c r="F148" t="inlineStr">
        <is>
          <t>STOCKHOLMS LÄN</t>
        </is>
      </c>
      <c r="G148" t="inlineStr">
        <is>
          <t>SÖDERTÄLJE</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46302</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22-2024</t>
        </is>
      </c>
      <c r="B150" t="inlineStr">
        <is>
          <t>avverkningsanmälan</t>
        </is>
      </c>
      <c r="C150" t="inlineStr">
        <is>
          <t>Föryngringsavverkning</t>
        </is>
      </c>
      <c r="D150" s="1" t="n">
        <v>45293</v>
      </c>
      <c r="E150" s="1" t="n">
        <v>46302</v>
      </c>
      <c r="F150" t="inlineStr">
        <is>
          <t>STOCKHOLMS LÄN</t>
        </is>
      </c>
      <c r="G150" t="inlineStr">
        <is>
          <t>SÖDERTÄLJE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95-2024</t>
        </is>
      </c>
      <c r="B151" t="inlineStr">
        <is>
          <t>avverkningsanmälan</t>
        </is>
      </c>
      <c r="C151" t="inlineStr">
        <is>
          <t>Föryngringsavverkning</t>
        </is>
      </c>
      <c r="D151" s="1" t="n">
        <v>45293</v>
      </c>
      <c r="E151" s="1" t="n">
        <v>46302</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36938-2026</t>
        </is>
      </c>
      <c r="B152" t="inlineStr">
        <is>
          <t>avverkningsanmälan</t>
        </is>
      </c>
      <c r="C152" t="inlineStr">
        <is>
          <t>Föryngringsavverkning</t>
        </is>
      </c>
      <c r="D152" s="1" t="n">
        <v>46273</v>
      </c>
      <c r="E152" s="1" t="n">
        <v>46302</v>
      </c>
      <c r="F152" t="inlineStr">
        <is>
          <t>STOCKHOLMS LÄN</t>
        </is>
      </c>
      <c r="G152" t="inlineStr">
        <is>
          <t>SÖDERTÄLJE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49956-2022</t>
        </is>
      </c>
      <c r="B153" t="inlineStr">
        <is>
          <t>avverkningsanmälan</t>
        </is>
      </c>
      <c r="C153" t="inlineStr">
        <is>
          <t>Föryngringsavverkning</t>
        </is>
      </c>
      <c r="D153" s="1" t="n">
        <v>44865</v>
      </c>
      <c r="E153" s="1" t="n">
        <v>46302</v>
      </c>
      <c r="F153" t="inlineStr">
        <is>
          <t>STOCKHOLMS LÄN</t>
        </is>
      </c>
      <c r="G153" t="inlineStr">
        <is>
          <t>SÖDERTÄLJE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11343-2025</t>
        </is>
      </c>
      <c r="B154" t="inlineStr">
        <is>
          <t>avverkningsanmälan</t>
        </is>
      </c>
      <c r="C154" t="inlineStr">
        <is>
          <t>Föryngringsavverkning</t>
        </is>
      </c>
      <c r="D154" s="1" t="n">
        <v>45726</v>
      </c>
      <c r="E154" s="1" t="n">
        <v>46302</v>
      </c>
      <c r="F154" t="inlineStr">
        <is>
          <t>STOCKHOLMS LÄN</t>
        </is>
      </c>
      <c r="G154" t="inlineStr">
        <is>
          <t>SÖDERTÄLJE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54596-2024</t>
        </is>
      </c>
      <c r="B155" t="inlineStr">
        <is>
          <t>avverkningsanmälan</t>
        </is>
      </c>
      <c r="C155" t="inlineStr">
        <is>
          <t>Föryngringsavverkning</t>
        </is>
      </c>
      <c r="D155" s="1" t="n">
        <v>45617</v>
      </c>
      <c r="E155" s="1" t="n">
        <v>46302</v>
      </c>
      <c r="F155" t="inlineStr">
        <is>
          <t>STOCKHOLMS LÄN</t>
        </is>
      </c>
      <c r="G155" t="inlineStr">
        <is>
          <t>SÖDERTÄLJE</t>
        </is>
      </c>
      <c r="I155" t="n">
        <v>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45145-2022</t>
        </is>
      </c>
      <c r="B156" t="inlineStr">
        <is>
          <t>avverkningsanmälan</t>
        </is>
      </c>
      <c r="C156" t="inlineStr">
        <is>
          <t>Föryngringsavverkning</t>
        </is>
      </c>
      <c r="D156" s="1" t="n">
        <v>44844</v>
      </c>
      <c r="E156" s="1" t="n">
        <v>46302</v>
      </c>
      <c r="F156" t="inlineStr">
        <is>
          <t>STOCKHOLMS LÄN</t>
        </is>
      </c>
      <c r="G156" t="inlineStr">
        <is>
          <t>SÖDERTÄLJE</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32518-2026</t>
        </is>
      </c>
      <c r="B157" t="inlineStr">
        <is>
          <t>avverkningsanmälan</t>
        </is>
      </c>
      <c r="C157" t="inlineStr">
        <is>
          <t>Föryngringsavverkning</t>
        </is>
      </c>
      <c r="D157" s="1" t="n">
        <v>46239</v>
      </c>
      <c r="E157" s="1" t="n">
        <v>46302</v>
      </c>
      <c r="F157" t="inlineStr">
        <is>
          <t>STOCKHOLMS LÄN</t>
        </is>
      </c>
      <c r="G157" t="inlineStr">
        <is>
          <t>SÖDERTÄLJE</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42339-2024</t>
        </is>
      </c>
      <c r="B158" t="inlineStr">
        <is>
          <t>avverkningsanmälan</t>
        </is>
      </c>
      <c r="C158" t="inlineStr">
        <is>
          <t>Avverkning för annat ändamål</t>
        </is>
      </c>
      <c r="D158" s="1" t="n">
        <v>45562</v>
      </c>
      <c r="E158" s="1" t="n">
        <v>46302</v>
      </c>
      <c r="F158" t="inlineStr">
        <is>
          <t>STOCKHOLMS LÄN</t>
        </is>
      </c>
      <c r="G158" t="inlineStr">
        <is>
          <t>SÖDERTÄLJE</t>
        </is>
      </c>
      <c r="H158" t="inlineStr">
        <is>
          <t>Övriga statliga verk och myndigheter</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48820-2022</t>
        </is>
      </c>
      <c r="B159" t="inlineStr">
        <is>
          <t>avverkningsanmälan</t>
        </is>
      </c>
      <c r="C159" t="inlineStr">
        <is>
          <t>Föryngringsavverkning</t>
        </is>
      </c>
      <c r="D159" s="1" t="n">
        <v>44859</v>
      </c>
      <c r="E159" s="1" t="n">
        <v>46302</v>
      </c>
      <c r="F159" t="inlineStr">
        <is>
          <t>STOCKHOLMS LÄN</t>
        </is>
      </c>
      <c r="G159" t="inlineStr">
        <is>
          <t>SÖDERTÄLJE</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34193-2024</t>
        </is>
      </c>
      <c r="B160" t="inlineStr">
        <is>
          <t>avverkningsanmälan</t>
        </is>
      </c>
      <c r="C160" t="inlineStr">
        <is>
          <t>Föryngringsavverkning</t>
        </is>
      </c>
      <c r="D160" s="1" t="n">
        <v>45524</v>
      </c>
      <c r="E160" s="1" t="n">
        <v>46302</v>
      </c>
      <c r="F160" t="inlineStr">
        <is>
          <t>STOCKHOLMS LÄN</t>
        </is>
      </c>
      <c r="G160" t="inlineStr">
        <is>
          <t>SÖDERTÄLJE</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46302</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57884-2021</t>
        </is>
      </c>
      <c r="B162" t="inlineStr">
        <is>
          <t>avverkningsanmälan</t>
        </is>
      </c>
      <c r="C162" t="inlineStr">
        <is>
          <t>Föryngringsavverkning</t>
        </is>
      </c>
      <c r="D162" s="1" t="n">
        <v>44485</v>
      </c>
      <c r="E162" s="1" t="n">
        <v>46302</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6886-2022</t>
        </is>
      </c>
      <c r="B163" t="inlineStr">
        <is>
          <t>avverkningsanmälan</t>
        </is>
      </c>
      <c r="C163" t="inlineStr">
        <is>
          <t>Föryngringsavverkning</t>
        </is>
      </c>
      <c r="D163" s="1" t="n">
        <v>44602</v>
      </c>
      <c r="E163" s="1" t="n">
        <v>46302</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1016-2022</t>
        </is>
      </c>
      <c r="B164" t="inlineStr">
        <is>
          <t>avverkningsanmälan</t>
        </is>
      </c>
      <c r="C164" t="inlineStr">
        <is>
          <t>Avverkning för annat ändamål</t>
        </is>
      </c>
      <c r="D164" s="1" t="n">
        <v>44571</v>
      </c>
      <c r="E164" s="1" t="n">
        <v>46302</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35942-2022</t>
        </is>
      </c>
      <c r="B165" t="inlineStr">
        <is>
          <t>avverkningsanmälan</t>
        </is>
      </c>
      <c r="C165" t="inlineStr">
        <is>
          <t>Avverkning för annat ändamål</t>
        </is>
      </c>
      <c r="D165" s="1" t="n">
        <v>44802</v>
      </c>
      <c r="E165" s="1" t="n">
        <v>46302</v>
      </c>
      <c r="F165" t="inlineStr">
        <is>
          <t>STOCKHOLMS LÄN</t>
        </is>
      </c>
      <c r="G165" t="inlineStr">
        <is>
          <t>SÖDERTÄLJE</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3383-2024</t>
        </is>
      </c>
      <c r="B166" t="inlineStr">
        <is>
          <t>avverkningsanmälan</t>
        </is>
      </c>
      <c r="C166" t="inlineStr">
        <is>
          <t>Avverkning för att bevara och utveckla /försöksver</t>
        </is>
      </c>
      <c r="D166" s="1" t="n">
        <v>45317</v>
      </c>
      <c r="E166" s="1" t="n">
        <v>46302</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24034-2022</t>
        </is>
      </c>
      <c r="B167" t="inlineStr">
        <is>
          <t>avverkningsanmälan</t>
        </is>
      </c>
      <c r="C167" t="inlineStr">
        <is>
          <t>Föryngringsavverkning</t>
        </is>
      </c>
      <c r="D167" s="1" t="n">
        <v>44724</v>
      </c>
      <c r="E167" s="1" t="n">
        <v>46302</v>
      </c>
      <c r="F167" t="inlineStr">
        <is>
          <t>STOCKHOLMS LÄN</t>
        </is>
      </c>
      <c r="G167" t="inlineStr">
        <is>
          <t>SÖDERTÄLJE</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72218-2021</t>
        </is>
      </c>
      <c r="B168" t="inlineStr">
        <is>
          <t>avverkningsanmälan</t>
        </is>
      </c>
      <c r="C168" t="inlineStr">
        <is>
          <t>Föryngringsavverkning</t>
        </is>
      </c>
      <c r="D168" s="1" t="n">
        <v>44544</v>
      </c>
      <c r="E168" s="1" t="n">
        <v>46302</v>
      </c>
      <c r="F168" t="inlineStr">
        <is>
          <t>STOCKHOLMS LÄN</t>
        </is>
      </c>
      <c r="G168" t="inlineStr">
        <is>
          <t>SÖDERTÄLJE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20530-2024</t>
        </is>
      </c>
      <c r="B169" t="inlineStr">
        <is>
          <t>avverkningsanmälan</t>
        </is>
      </c>
      <c r="C169" t="inlineStr">
        <is>
          <t>Avverkning för annat ändamål</t>
        </is>
      </c>
      <c r="D169" s="1" t="n">
        <v>45435</v>
      </c>
      <c r="E169" s="1" t="n">
        <v>46302</v>
      </c>
      <c r="F169" t="inlineStr">
        <is>
          <t>STOCKHOLMS LÄN</t>
        </is>
      </c>
      <c r="G169" t="inlineStr">
        <is>
          <t>SÖDERTÄLJE</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35918-2022</t>
        </is>
      </c>
      <c r="B170" t="inlineStr">
        <is>
          <t>avverkningsanmälan</t>
        </is>
      </c>
      <c r="C170" t="inlineStr">
        <is>
          <t>Avverkning för annat ändamål</t>
        </is>
      </c>
      <c r="D170" s="1" t="n">
        <v>44802</v>
      </c>
      <c r="E170" s="1" t="n">
        <v>46302</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55940-2023</t>
        </is>
      </c>
      <c r="B171" t="inlineStr">
        <is>
          <t>avverkningsanmälan</t>
        </is>
      </c>
      <c r="C171" t="inlineStr">
        <is>
          <t>Föryngringsavverkning</t>
        </is>
      </c>
      <c r="D171" s="1" t="n">
        <v>45240</v>
      </c>
      <c r="E171" s="1" t="n">
        <v>46302</v>
      </c>
      <c r="F171" t="inlineStr">
        <is>
          <t>STOCKHOLMS LÄN</t>
        </is>
      </c>
      <c r="G171" t="inlineStr">
        <is>
          <t>SÖDERTÄLJE</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41265-2026</t>
        </is>
      </c>
      <c r="B172" t="inlineStr">
        <is>
          <t>avverkningsanmälan</t>
        </is>
      </c>
      <c r="C172" t="inlineStr">
        <is>
          <t>Föryngringsavverkning</t>
        </is>
      </c>
      <c r="D172" s="1" t="n">
        <v>46300</v>
      </c>
      <c r="E172" s="1" t="n">
        <v>46302</v>
      </c>
      <c r="F172" t="inlineStr">
        <is>
          <t>STOCKHOLMS LÄN</t>
        </is>
      </c>
      <c r="G172" t="inlineStr">
        <is>
          <t>SÖDERTÄLJE</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51931-2023</t>
        </is>
      </c>
      <c r="B173" t="inlineStr">
        <is>
          <t>avverkningsanmälan</t>
        </is>
      </c>
      <c r="C173" t="inlineStr">
        <is>
          <t>Föryngringsavverkning</t>
        </is>
      </c>
      <c r="D173" s="1" t="n">
        <v>45216</v>
      </c>
      <c r="E173" s="1" t="n">
        <v>46302</v>
      </c>
      <c r="F173" t="inlineStr">
        <is>
          <t>STOCKHOLMS LÄN</t>
        </is>
      </c>
      <c r="G173" t="inlineStr">
        <is>
          <t>SÖDERTÄLJE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34194-2024</t>
        </is>
      </c>
      <c r="B174" t="inlineStr">
        <is>
          <t>avverkningsanmälan</t>
        </is>
      </c>
      <c r="C174" t="inlineStr">
        <is>
          <t>Föryngringsavverkning</t>
        </is>
      </c>
      <c r="D174" s="1" t="n">
        <v>45524</v>
      </c>
      <c r="E174" s="1" t="n">
        <v>46302</v>
      </c>
      <c r="F174" t="inlineStr">
        <is>
          <t>STOCKHOLMS LÄN</t>
        </is>
      </c>
      <c r="G174" t="inlineStr">
        <is>
          <t>SÖDERTÄLJE</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4440-2023</t>
        </is>
      </c>
      <c r="B175" t="inlineStr">
        <is>
          <t>avverkningsanmälan</t>
        </is>
      </c>
      <c r="C175" t="inlineStr">
        <is>
          <t>Föryngringsavverkning</t>
        </is>
      </c>
      <c r="D175" s="1" t="n">
        <v>44956</v>
      </c>
      <c r="E175" s="1" t="n">
        <v>46302</v>
      </c>
      <c r="F175" t="inlineStr">
        <is>
          <t>STOCKHOLMS LÄN</t>
        </is>
      </c>
      <c r="G175" t="inlineStr">
        <is>
          <t>SÖDERTÄLJE</t>
        </is>
      </c>
      <c r="I175" t="n">
        <v>18.4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1759-2025</t>
        </is>
      </c>
      <c r="B176" t="inlineStr">
        <is>
          <t>avverkningsanmälan</t>
        </is>
      </c>
      <c r="C176" t="inlineStr">
        <is>
          <t>Föryngringsavverkning</t>
        </is>
      </c>
      <c r="D176" s="1" t="n">
        <v>45671</v>
      </c>
      <c r="E176" s="1" t="n">
        <v>46302</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45184-2022</t>
        </is>
      </c>
      <c r="B177" t="inlineStr">
        <is>
          <t>avverkningsanmälan</t>
        </is>
      </c>
      <c r="C177" t="inlineStr">
        <is>
          <t>Föryngringsavverkning</t>
        </is>
      </c>
      <c r="D177" s="1" t="n">
        <v>44844</v>
      </c>
      <c r="E177" s="1" t="n">
        <v>46302</v>
      </c>
      <c r="F177" t="inlineStr">
        <is>
          <t>STOCKHOLMS LÄN</t>
        </is>
      </c>
      <c r="G177" t="inlineStr">
        <is>
          <t>SÖDERTÄLJE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2529-2023</t>
        </is>
      </c>
      <c r="B178" t="inlineStr">
        <is>
          <t>avverkningsanmälan</t>
        </is>
      </c>
      <c r="C178" t="inlineStr">
        <is>
          <t>Föryngringsavverkning</t>
        </is>
      </c>
      <c r="D178" s="1" t="n">
        <v>44943</v>
      </c>
      <c r="E178" s="1" t="n">
        <v>46302</v>
      </c>
      <c r="F178" t="inlineStr">
        <is>
          <t>STOCKHOLMS LÄN</t>
        </is>
      </c>
      <c r="G178" t="inlineStr">
        <is>
          <t>SÖDERTÄLJE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36112-2022</t>
        </is>
      </c>
      <c r="B179" t="inlineStr">
        <is>
          <t>avverkningsanmälan</t>
        </is>
      </c>
      <c r="C179" t="inlineStr">
        <is>
          <t>Avverkning för annat ändamål</t>
        </is>
      </c>
      <c r="D179" s="1" t="n">
        <v>44802</v>
      </c>
      <c r="E179" s="1" t="n">
        <v>46302</v>
      </c>
      <c r="F179" t="inlineStr">
        <is>
          <t>STOCKHOLMS LÄN</t>
        </is>
      </c>
      <c r="G179" t="inlineStr">
        <is>
          <t>SÖDERTÄLJE</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37536-2024</t>
        </is>
      </c>
      <c r="B180" t="inlineStr">
        <is>
          <t>avverkningsanmälan</t>
        </is>
      </c>
      <c r="C180" t="inlineStr">
        <is>
          <t>Föryngringsavverkning</t>
        </is>
      </c>
      <c r="D180" s="1" t="n">
        <v>45541</v>
      </c>
      <c r="E180" s="1" t="n">
        <v>46302</v>
      </c>
      <c r="F180" t="inlineStr">
        <is>
          <t>STOCKHOLMS LÄN</t>
        </is>
      </c>
      <c r="G180" t="inlineStr">
        <is>
          <t>SÖDERTÄLJE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23367-2024</t>
        </is>
      </c>
      <c r="B181" t="inlineStr">
        <is>
          <t>avverkningsanmälan</t>
        </is>
      </c>
      <c r="C181" t="inlineStr">
        <is>
          <t>Avverkning för annat ändamål</t>
        </is>
      </c>
      <c r="D181" s="1" t="n">
        <v>45453</v>
      </c>
      <c r="E181" s="1" t="n">
        <v>46302</v>
      </c>
      <c r="F181" t="inlineStr">
        <is>
          <t>STOCKHOLMS LÄN</t>
        </is>
      </c>
      <c r="G181" t="inlineStr">
        <is>
          <t>SÖDERTÄLJE</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9891-2025</t>
        </is>
      </c>
      <c r="B182" t="inlineStr">
        <is>
          <t>avverkningsanmälan</t>
        </is>
      </c>
      <c r="C182" t="inlineStr">
        <is>
          <t>Föryngringsavverkning</t>
        </is>
      </c>
      <c r="D182" s="1" t="n">
        <v>45716</v>
      </c>
      <c r="E182" s="1" t="n">
        <v>46302</v>
      </c>
      <c r="F182" t="inlineStr">
        <is>
          <t>STOCKHOLMS LÄN</t>
        </is>
      </c>
      <c r="G182" t="inlineStr">
        <is>
          <t>SÖDERTÄLJE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21726-2025</t>
        </is>
      </c>
      <c r="B183" t="inlineStr">
        <is>
          <t>avverkningsanmälan</t>
        </is>
      </c>
      <c r="C183" t="inlineStr">
        <is>
          <t>Föryngringsavverkning</t>
        </is>
      </c>
      <c r="D183" s="1" t="n">
        <v>45783</v>
      </c>
      <c r="E183" s="1" t="n">
        <v>46302</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47977-2022</t>
        </is>
      </c>
      <c r="B184" t="inlineStr">
        <is>
          <t>avverkningsanmälan</t>
        </is>
      </c>
      <c r="C184" t="inlineStr">
        <is>
          <t>Föryngringsavverkning</t>
        </is>
      </c>
      <c r="D184" s="1" t="n">
        <v>44855</v>
      </c>
      <c r="E184" s="1" t="n">
        <v>46302</v>
      </c>
      <c r="F184" t="inlineStr">
        <is>
          <t>STOCKHOLMS LÄN</t>
        </is>
      </c>
      <c r="G184" t="inlineStr">
        <is>
          <t>SÖDERTÄLJE</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17979-2024</t>
        </is>
      </c>
      <c r="B185" t="inlineStr">
        <is>
          <t>avverkningsanmälan</t>
        </is>
      </c>
      <c r="C185" t="inlineStr">
        <is>
          <t>Föryngringsavverkning</t>
        </is>
      </c>
      <c r="D185" s="1" t="n">
        <v>45419</v>
      </c>
      <c r="E185" s="1" t="n">
        <v>46302</v>
      </c>
      <c r="F185" t="inlineStr">
        <is>
          <t>STOCKHOLMS LÄN</t>
        </is>
      </c>
      <c r="G185" t="inlineStr">
        <is>
          <t>SÖDERTÄLJE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19210-2024</t>
        </is>
      </c>
      <c r="B186" t="inlineStr">
        <is>
          <t>avverkningsanmälan</t>
        </is>
      </c>
      <c r="C186" t="inlineStr">
        <is>
          <t>Avverkning för att bevara och utveckla /försöksver</t>
        </is>
      </c>
      <c r="D186" s="1" t="n">
        <v>45428</v>
      </c>
      <c r="E186" s="1" t="n">
        <v>46302</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51353-2024</t>
        </is>
      </c>
      <c r="B187" t="inlineStr">
        <is>
          <t>avverkningsanmälan</t>
        </is>
      </c>
      <c r="C187" t="inlineStr">
        <is>
          <t>Föryngringsavverkning</t>
        </is>
      </c>
      <c r="D187" s="1" t="n">
        <v>45604</v>
      </c>
      <c r="E187" s="1" t="n">
        <v>46302</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6029-2022</t>
        </is>
      </c>
      <c r="B188" t="inlineStr">
        <is>
          <t>samrådsanmälan</t>
        </is>
      </c>
      <c r="C188" t="inlineStr">
        <is>
          <t>Annan skogsbruksåtgärd</t>
        </is>
      </c>
      <c r="D188" s="1" t="n">
        <v>44859</v>
      </c>
      <c r="E188" s="1" t="n">
        <v>46302</v>
      </c>
      <c r="F188" t="inlineStr">
        <is>
          <t>STOCKHOLMS LÄN</t>
        </is>
      </c>
      <c r="G188" t="inlineStr">
        <is>
          <t>SÖDERTÄLJE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1081-2024</t>
        </is>
      </c>
      <c r="B189" t="inlineStr">
        <is>
          <t>samrådsanmälan</t>
        </is>
      </c>
      <c r="C189" t="inlineStr">
        <is>
          <t>Annan skogsbruksåtgärd</t>
        </is>
      </c>
      <c r="D189" s="1" t="n">
        <v>45390</v>
      </c>
      <c r="E189" s="1" t="n">
        <v>46302</v>
      </c>
      <c r="F189" t="inlineStr">
        <is>
          <t>STOCKHOLMS LÄN</t>
        </is>
      </c>
      <c r="G189" t="inlineStr">
        <is>
          <t>SÖDERTÄLJE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46302</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3931-2024</t>
        </is>
      </c>
      <c r="B191" t="inlineStr">
        <is>
          <t>samrådsanmälan</t>
        </is>
      </c>
      <c r="C191" t="inlineStr">
        <is>
          <t>Annan skogsbruksåtgärd</t>
        </is>
      </c>
      <c r="D191" s="1" t="n">
        <v>45565</v>
      </c>
      <c r="E191" s="1" t="n">
        <v>46302</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2770-2024</t>
        </is>
      </c>
      <c r="B192" t="inlineStr">
        <is>
          <t>samrådsanmälan</t>
        </is>
      </c>
      <c r="C192" t="inlineStr">
        <is>
          <t>Annan skogsbruksåtgärd</t>
        </is>
      </c>
      <c r="D192" s="1" t="n">
        <v>45485</v>
      </c>
      <c r="E192" s="1" t="n">
        <v>46302</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4009-2024</t>
        </is>
      </c>
      <c r="B193" t="inlineStr">
        <is>
          <t>samrådsanmälan</t>
        </is>
      </c>
      <c r="C193" t="inlineStr">
        <is>
          <t>Annan skogsbruksåtgärd</t>
        </is>
      </c>
      <c r="D193" s="1" t="n">
        <v>45571</v>
      </c>
      <c r="E193" s="1" t="n">
        <v>46302</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c r="A194" t="inlineStr">
        <is>
          <t>S 6039-2022</t>
        </is>
      </c>
      <c r="B194" t="inlineStr">
        <is>
          <t>samrådsanmälan</t>
        </is>
      </c>
      <c r="C194" t="inlineStr">
        <is>
          <t>Annan skogsbruksåtgärd</t>
        </is>
      </c>
      <c r="D194" s="1" t="n">
        <v>44859</v>
      </c>
      <c r="E194" s="1" t="n">
        <v>46302</v>
      </c>
      <c r="F194" t="inlineStr">
        <is>
          <t>STOCKHOLMS LÄN</t>
        </is>
      </c>
      <c r="G194" t="inlineStr">
        <is>
          <t>SÖDERTÄLJE</t>
        </is>
      </c>
      <c r="H194" t="inlineStr">
        <is>
          <t>Sveaskog</t>
        </is>
      </c>
      <c r="I194" t="n">
        <v>6.8</v>
      </c>
      <c r="J194" t="n">
        <v>0</v>
      </c>
      <c r="K194" t="n">
        <v>0</v>
      </c>
      <c r="L194" t="n">
        <v>0</v>
      </c>
      <c r="M194" t="n">
        <v>0</v>
      </c>
      <c r="N194" t="n">
        <v>0</v>
      </c>
      <c r="O194" t="n">
        <v>0</v>
      </c>
      <c r="P194" t="n">
        <v>0</v>
      </c>
      <c r="Q194" t="n">
        <v>0</v>
      </c>
      <c r="R194" t="n">
        <v>0</v>
      </c>
      <c r="S194" t="n">
        <v>0</v>
      </c>
      <c r="T194" t="n">
        <v>0</v>
      </c>
      <c r="U194" t="n">
        <v>0</v>
      </c>
      <c r="V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2026-10-07T02:07:52Z</dcterms:created>
  <dcterms:modified xmlns:dcterms="http://purl.org/dc/terms/" xmlns:xsi="http://www.w3.org/2001/XMLSchema-instance" xsi:type="dcterms:W3CDTF">2026-10-07T02:07:52Z</dcterms:modified>
</cp:coreProperties>
</file>