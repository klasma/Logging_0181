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23846-2026</t>
        </is>
      </c>
      <c r="B10" s="1" t="n">
        <v>46167.36409722222</v>
      </c>
      <c r="C10" s="1" t="n">
        <v>46172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11.2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Flagellkvastmossa
Bred kärrtrollslända
Citronfläckad kärrtrollslända
Pudrad kärrtrollslända</t>
        </is>
      </c>
      <c r="S10">
        <f>HYPERLINK("https://klasma.github.io/Logging_0181/artfynd/A 23846-2026 artfynd.xlsx", "A 23846-2026")</f>
        <v/>
      </c>
      <c r="T10">
        <f>HYPERLINK("https://klasma.github.io/Logging_0181/kartor/A 23846-2026 karta.png", "A 23846-2026")</f>
        <v/>
      </c>
      <c r="V10">
        <f>HYPERLINK("https://klasma.github.io/Logging_0181/klagomål/A 23846-2026 FSC-klagomål.docx", "A 23846-2026")</f>
        <v/>
      </c>
      <c r="W10">
        <f>HYPERLINK("https://klasma.github.io/Logging_0181/klagomålsmail/A 23846-2026 FSC-klagomål mail.docx", "A 23846-2026")</f>
        <v/>
      </c>
      <c r="X10">
        <f>HYPERLINK("https://klasma.github.io/Logging_0181/tillsyn/A 23846-2026 tillsynsbegäran.docx", "A 23846-2026")</f>
        <v/>
      </c>
      <c r="Y10">
        <f>HYPERLINK("https://klasma.github.io/Logging_0181/tillsynsmail/A 23846-2026 tillsynsbegäran mail.docx", "A 23846-2026")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46172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46172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46172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46172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46172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46172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46172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46172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46172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46172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36502-2025</t>
        </is>
      </c>
      <c r="B25" s="1" t="n">
        <v>45869.56332175926</v>
      </c>
      <c r="C25" s="1" t="n">
        <v>46172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 taggsvamp agg.
Tjäder</t>
        </is>
      </c>
      <c r="S25">
        <f>HYPERLINK("https://klasma.github.io/Logging_0181/artfynd/A 36502-2025 artfynd.xlsx", "A 36502-2025")</f>
        <v/>
      </c>
      <c r="T25">
        <f>HYPERLINK("https://klasma.github.io/Logging_0181/kartor/A 36502-2025 karta.png", "A 36502-2025")</f>
        <v/>
      </c>
      <c r="V25">
        <f>HYPERLINK("https://klasma.github.io/Logging_0181/klagomål/A 36502-2025 FSC-klagomål.docx", "A 36502-2025")</f>
        <v/>
      </c>
      <c r="W25">
        <f>HYPERLINK("https://klasma.github.io/Logging_0181/klagomålsmail/A 36502-2025 FSC-klagomål mail.docx", "A 36502-2025")</f>
        <v/>
      </c>
      <c r="X25">
        <f>HYPERLINK("https://klasma.github.io/Logging_0181/tillsyn/A 36502-2025 tillsynsbegäran.docx", "A 36502-2025")</f>
        <v/>
      </c>
      <c r="Y25">
        <f>HYPERLINK("https://klasma.github.io/Logging_0181/tillsynsmail/A 36502-2025 tillsynsbegäran mail.docx", "A 36502-2025")</f>
        <v/>
      </c>
      <c r="Z25">
        <f>HYPERLINK("https://klasma.github.io/Logging_0181/fåglar/A 36502-2025 prioriterade fågelarter.docx", "A 36502-2025")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46172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34450-2021</t>
        </is>
      </c>
      <c r="B28" s="1" t="n">
        <v>44381</v>
      </c>
      <c r="C28" s="1" t="n">
        <v>46172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HYPERLINK("https://klasma.github.io/Logging_0181/artfynd/A 34450-2021 artfynd.xlsx", "A 34450-2021")</f>
        <v/>
      </c>
      <c r="T28">
        <f>HYPERLINK("https://klasma.github.io/Logging_0181/kartor/A 34450-2021 karta.png", "A 34450-2021")</f>
        <v/>
      </c>
      <c r="V28">
        <f>HYPERLINK("https://klasma.github.io/Logging_0181/klagomål/A 34450-2021 FSC-klagomål.docx", "A 34450-2021")</f>
        <v/>
      </c>
      <c r="W28">
        <f>HYPERLINK("https://klasma.github.io/Logging_0181/klagomålsmail/A 34450-2021 FSC-klagomål mail.docx", "A 34450-2021")</f>
        <v/>
      </c>
      <c r="X28">
        <f>HYPERLINK("https://klasma.github.io/Logging_0181/tillsyn/A 34450-2021 tillsynsbegäran.docx", "A 34450-2021")</f>
        <v/>
      </c>
      <c r="Y28">
        <f>HYPERLINK("https://klasma.github.io/Logging_0181/tillsynsmail/A 34450-2021 tillsynsbegäran mail.docx", "A 34450-2021")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46172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46172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46172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46172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46172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46172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46172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46172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46172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46172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48341-2025</t>
        </is>
      </c>
      <c r="B39" s="1" t="n">
        <v>45933</v>
      </c>
      <c r="C39" s="1" t="n">
        <v>46172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bockrot</t>
        </is>
      </c>
      <c r="S39">
        <f>HYPERLINK("https://klasma.github.io/Logging_0181/artfynd/A 48341-2025 artfynd.xlsx", "A 48341-2025")</f>
        <v/>
      </c>
      <c r="T39">
        <f>HYPERLINK("https://klasma.github.io/Logging_0181/kartor/A 48341-2025 karta.png", "A 48341-2025")</f>
        <v/>
      </c>
      <c r="U39">
        <f>HYPERLINK("https://klasma.github.io/Logging_0181/knärot/A 48341-2025 karta knärot.png", "A 48341-2025")</f>
        <v/>
      </c>
      <c r="V39">
        <f>HYPERLINK("https://klasma.github.io/Logging_0181/klagomål/A 48341-2025 FSC-klagomål.docx", "A 48341-2025")</f>
        <v/>
      </c>
      <c r="W39">
        <f>HYPERLINK("https://klasma.github.io/Logging_0181/klagomålsmail/A 48341-2025 FSC-klagomål mail.docx", "A 48341-2025")</f>
        <v/>
      </c>
      <c r="X39">
        <f>HYPERLINK("https://klasma.github.io/Logging_0181/tillsyn/A 48341-2025 tillsynsbegäran.docx", "A 48341-2025")</f>
        <v/>
      </c>
      <c r="Y39">
        <f>HYPERLINK("https://klasma.github.io/Logging_0181/tillsynsmail/A 48341-2025 tillsynsbegäran mail.docx", "A 48341-2025")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46172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46172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Druvfingersvampar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12968-2024</t>
        </is>
      </c>
      <c r="B42" s="1" t="n">
        <v>45385.50599537037</v>
      </c>
      <c r="C42" s="1" t="n">
        <v>46172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HYPERLINK("https://klasma.github.io/Logging_0181/artfynd/A 12968-2024 artfynd.xlsx", "A 12968-2024")</f>
        <v/>
      </c>
      <c r="T42">
        <f>HYPERLINK("https://klasma.github.io/Logging_0181/kartor/A 12968-2024 karta.png", "A 12968-2024")</f>
        <v/>
      </c>
      <c r="V42">
        <f>HYPERLINK("https://klasma.github.io/Logging_0181/klagomål/A 12968-2024 FSC-klagomål.docx", "A 12968-2024")</f>
        <v/>
      </c>
      <c r="W42">
        <f>HYPERLINK("https://klasma.github.io/Logging_0181/klagomålsmail/A 12968-2024 FSC-klagomål mail.docx", "A 12968-2024")</f>
        <v/>
      </c>
      <c r="X42">
        <f>HYPERLINK("https://klasma.github.io/Logging_0181/tillsyn/A 12968-2024 tillsynsbegäran.docx", "A 12968-2024")</f>
        <v/>
      </c>
      <c r="Y42">
        <f>HYPERLINK("https://klasma.github.io/Logging_0181/tillsynsmail/A 12968-2024 tillsynsbegäran mail.docx", "A 12968-2024")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46172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55263-2021</t>
        </is>
      </c>
      <c r="B44" s="1" t="n">
        <v>44475</v>
      </c>
      <c r="C44" s="1" t="n">
        <v>46172</v>
      </c>
      <c r="D44" t="inlineStr">
        <is>
          <t>STOCKHOLMS LÄN</t>
        </is>
      </c>
      <c r="E44" t="inlineStr">
        <is>
          <t>SÖDERTÄLJE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HYPERLINK("https://klasma.github.io/Logging_0181/artfynd/A 55263-2021 artfynd.xlsx", "A 55263-2021")</f>
        <v/>
      </c>
      <c r="T44">
        <f>HYPERLINK("https://klasma.github.io/Logging_0181/kartor/A 55263-2021 karta.png", "A 55263-2021")</f>
        <v/>
      </c>
      <c r="V44">
        <f>HYPERLINK("https://klasma.github.io/Logging_0181/klagomål/A 55263-2021 FSC-klagomål.docx", "A 55263-2021")</f>
        <v/>
      </c>
      <c r="W44">
        <f>HYPERLINK("https://klasma.github.io/Logging_0181/klagomålsmail/A 55263-2021 FSC-klagomål mail.docx", "A 55263-2021")</f>
        <v/>
      </c>
      <c r="X44">
        <f>HYPERLINK("https://klasma.github.io/Logging_0181/tillsyn/A 55263-2021 tillsynsbegäran.docx", "A 55263-2021")</f>
        <v/>
      </c>
      <c r="Y44">
        <f>HYPERLINK("https://klasma.github.io/Logging_0181/tillsynsmail/A 55263-2021 tillsynsbegäran mail.docx", "A 55263-2021")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46172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55044-2025</t>
        </is>
      </c>
      <c r="B46" s="1" t="n">
        <v>45967.66005787037</v>
      </c>
      <c r="C46" s="1" t="n">
        <v>46172</v>
      </c>
      <c r="D46" t="inlineStr">
        <is>
          <t>STOCKHOLMS LÄN</t>
        </is>
      </c>
      <c r="E46" t="inlineStr">
        <is>
          <t>SÖDERTÄLJE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55044-2025 artfynd.xlsx", "A 55044-2025")</f>
        <v/>
      </c>
      <c r="T46">
        <f>HYPERLINK("https://klasma.github.io/Logging_0181/kartor/A 55044-2025 karta.png", "A 55044-2025")</f>
        <v/>
      </c>
      <c r="V46">
        <f>HYPERLINK("https://klasma.github.io/Logging_0181/klagomål/A 55044-2025 FSC-klagomål.docx", "A 55044-2025")</f>
        <v/>
      </c>
      <c r="W46">
        <f>HYPERLINK("https://klasma.github.io/Logging_0181/klagomålsmail/A 55044-2025 FSC-klagomål mail.docx", "A 55044-2025")</f>
        <v/>
      </c>
      <c r="X46">
        <f>HYPERLINK("https://klasma.github.io/Logging_0181/tillsyn/A 55044-2025 tillsynsbegäran.docx", "A 55044-2025")</f>
        <v/>
      </c>
      <c r="Y46">
        <f>HYPERLINK("https://klasma.github.io/Logging_0181/tillsynsmail/A 55044-2025 tillsynsbegäran mail.docx", "A 55044-2025")</f>
        <v/>
      </c>
      <c r="Z46">
        <f>HYPERLINK("https://klasma.github.io/Logging_0181/fåglar/A 55044-2025 prioriterade fågelarter.docx", "A 55044-2025")</f>
        <v/>
      </c>
    </row>
    <row r="47" ht="15" customHeight="1">
      <c r="A47" t="inlineStr">
        <is>
          <t>A 34449-2021</t>
        </is>
      </c>
      <c r="B47" s="1" t="n">
        <v>44381.63587962963</v>
      </c>
      <c r="C47" s="1" t="n">
        <v>46172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HYPERLINK("https://klasma.github.io/Logging_0181/artfynd/A 34449-2021 artfynd.xlsx", "A 34449-2021")</f>
        <v/>
      </c>
      <c r="T47">
        <f>HYPERLINK("https://klasma.github.io/Logging_0181/kartor/A 34449-2021 karta.png", "A 34449-2021")</f>
        <v/>
      </c>
      <c r="V47">
        <f>HYPERLINK("https://klasma.github.io/Logging_0181/klagomål/A 34449-2021 FSC-klagomål.docx", "A 34449-2021")</f>
        <v/>
      </c>
      <c r="W47">
        <f>HYPERLINK("https://klasma.github.io/Logging_0181/klagomålsmail/A 34449-2021 FSC-klagomål mail.docx", "A 34449-2021")</f>
        <v/>
      </c>
      <c r="X47">
        <f>HYPERLINK("https://klasma.github.io/Logging_0181/tillsyn/A 34449-2021 tillsynsbegäran.docx", "A 34449-2021")</f>
        <v/>
      </c>
      <c r="Y47">
        <f>HYPERLINK("https://klasma.github.io/Logging_0181/tillsynsmail/A 34449-2021 tillsynsbegäran mail.docx", "A 34449-2021")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46172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9205-2026</t>
        </is>
      </c>
      <c r="B49" s="1" t="n">
        <v>46070.41689814815</v>
      </c>
      <c r="C49" s="1" t="n">
        <v>46172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Gullgröppa</t>
        </is>
      </c>
      <c r="S49">
        <f>HYPERLINK("https://klasma.github.io/Logging_0181/artfynd/A 9205-2026 artfynd.xlsx", "A 9205-2026")</f>
        <v/>
      </c>
      <c r="T49">
        <f>HYPERLINK("https://klasma.github.io/Logging_0181/kartor/A 9205-2026 karta.png", "A 9205-2026")</f>
        <v/>
      </c>
      <c r="V49">
        <f>HYPERLINK("https://klasma.github.io/Logging_0181/klagomål/A 9205-2026 FSC-klagomål.docx", "A 9205-2026")</f>
        <v/>
      </c>
      <c r="W49">
        <f>HYPERLINK("https://klasma.github.io/Logging_0181/klagomålsmail/A 9205-2026 FSC-klagomål mail.docx", "A 9205-2026")</f>
        <v/>
      </c>
      <c r="X49">
        <f>HYPERLINK("https://klasma.github.io/Logging_0181/tillsyn/A 9205-2026 tillsynsbegäran.docx", "A 9205-2026")</f>
        <v/>
      </c>
      <c r="Y49">
        <f>HYPERLINK("https://klasma.github.io/Logging_0181/tillsynsmail/A 9205-2026 tillsynsbegäran mail.docx", "A 9205-2026")</f>
        <v/>
      </c>
    </row>
    <row r="50" ht="15" customHeight="1">
      <c r="A50" t="inlineStr">
        <is>
          <t>A 36505-2025</t>
        </is>
      </c>
      <c r="B50" s="1" t="n">
        <v>45869.57192129629</v>
      </c>
      <c r="C50" s="1" t="n">
        <v>46172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HYPERLINK("https://klasma.github.io/Logging_0181/artfynd/A 36505-2025 artfynd.xlsx", "A 36505-2025")</f>
        <v/>
      </c>
      <c r="T50">
        <f>HYPERLINK("https://klasma.github.io/Logging_0181/kartor/A 36505-2025 karta.png", "A 36505-2025")</f>
        <v/>
      </c>
      <c r="V50">
        <f>HYPERLINK("https://klasma.github.io/Logging_0181/klagomål/A 36505-2025 FSC-klagomål.docx", "A 36505-2025")</f>
        <v/>
      </c>
      <c r="W50">
        <f>HYPERLINK("https://klasma.github.io/Logging_0181/klagomålsmail/A 36505-2025 FSC-klagomål mail.docx", "A 36505-2025")</f>
        <v/>
      </c>
      <c r="X50">
        <f>HYPERLINK("https://klasma.github.io/Logging_0181/tillsyn/A 36505-2025 tillsynsbegäran.docx", "A 36505-2025")</f>
        <v/>
      </c>
      <c r="Y50">
        <f>HYPERLINK("https://klasma.github.io/Logging_0181/tillsynsmail/A 36505-2025 tillsynsbegäran mail.docx", "A 36505-2025")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46172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46172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46172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46172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46172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46172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46172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46172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46172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46172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35906-2022</t>
        </is>
      </c>
      <c r="B62" s="1" t="n">
        <v>44802</v>
      </c>
      <c r="C62" s="1" t="n">
        <v>46172</v>
      </c>
      <c r="D62" t="inlineStr">
        <is>
          <t>STOCKHOLMS LÄN</t>
        </is>
      </c>
      <c r="E62" t="inlineStr">
        <is>
          <t>SÖDERTÄLJE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46172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46172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52815-2023</t>
        </is>
      </c>
      <c r="B65" s="1" t="n">
        <v>45226</v>
      </c>
      <c r="C65" s="1" t="n">
        <v>46172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16520-2025</t>
        </is>
      </c>
      <c r="B66" s="1" t="n">
        <v>45751.63434027778</v>
      </c>
      <c r="C66" s="1" t="n">
        <v>46172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46172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46172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16437-2022</t>
        </is>
      </c>
      <c r="B69" s="1" t="n">
        <v>44671</v>
      </c>
      <c r="C69" s="1" t="n">
        <v>46172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46172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46172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46172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46172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37843-2022</t>
        </is>
      </c>
      <c r="B74" s="1" t="n">
        <v>44810</v>
      </c>
      <c r="C74" s="1" t="n">
        <v>46172</v>
      </c>
      <c r="D74" t="inlineStr">
        <is>
          <t>STOCKHOLMS LÄN</t>
        </is>
      </c>
      <c r="E74" t="inlineStr">
        <is>
          <t>SÖDERTÄLJE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46172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46671-2021</t>
        </is>
      </c>
      <c r="B76" s="1" t="n">
        <v>44445</v>
      </c>
      <c r="C76" s="1" t="n">
        <v>46172</v>
      </c>
      <c r="D76" t="inlineStr">
        <is>
          <t>STOCKHOLMS LÄN</t>
        </is>
      </c>
      <c r="E76" t="inlineStr">
        <is>
          <t>SÖDERTÄLJE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46172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46172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46172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3382-2024</t>
        </is>
      </c>
      <c r="B80" s="1" t="n">
        <v>45317</v>
      </c>
      <c r="C80" s="1" t="n">
        <v>46172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46172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10263-2025</t>
        </is>
      </c>
      <c r="B82" s="1" t="n">
        <v>45720.38165509259</v>
      </c>
      <c r="C82" s="1" t="n">
        <v>46172</v>
      </c>
      <c r="D82" t="inlineStr">
        <is>
          <t>STOCKHOLMS LÄN</t>
        </is>
      </c>
      <c r="E82" t="inlineStr">
        <is>
          <t>SÖDERTÄLJE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10277-2025</t>
        </is>
      </c>
      <c r="B83" s="1" t="n">
        <v>45720.39836805555</v>
      </c>
      <c r="C83" s="1" t="n">
        <v>46172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46172</v>
      </c>
      <c r="D84" t="inlineStr">
        <is>
          <t>STOCKHOLMS LÄN</t>
        </is>
      </c>
      <c r="E84" t="inlineStr">
        <is>
          <t>SÖDERTÄLJE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27970-2022</t>
        </is>
      </c>
      <c r="B85" s="1" t="n">
        <v>44744</v>
      </c>
      <c r="C85" s="1" t="n">
        <v>46172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27972-2022</t>
        </is>
      </c>
      <c r="B86" s="1" t="n">
        <v>44744</v>
      </c>
      <c r="C86" s="1" t="n">
        <v>46172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46172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46172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46172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46172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6157-2025</t>
        </is>
      </c>
      <c r="B91" s="1" t="n">
        <v>45698.40923611111</v>
      </c>
      <c r="C91" s="1" t="n">
        <v>46172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11343-2025</t>
        </is>
      </c>
      <c r="B92" s="1" t="n">
        <v>45726.49932870371</v>
      </c>
      <c r="C92" s="1" t="n">
        <v>46172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54596-2024</t>
        </is>
      </c>
      <c r="B93" s="1" t="n">
        <v>45617.6762037037</v>
      </c>
      <c r="C93" s="1" t="n">
        <v>46172</v>
      </c>
      <c r="D93" t="inlineStr">
        <is>
          <t>STOCKHOLMS LÄN</t>
        </is>
      </c>
      <c r="E93" t="inlineStr">
        <is>
          <t>SÖDERTÄLJE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28981-2023</t>
        </is>
      </c>
      <c r="B94" s="1" t="n">
        <v>45104</v>
      </c>
      <c r="C94" s="1" t="n">
        <v>46172</v>
      </c>
      <c r="D94" t="inlineStr">
        <is>
          <t>STOCKHOLMS LÄN</t>
        </is>
      </c>
      <c r="E94" t="inlineStr">
        <is>
          <t>SÖDERTÄLJE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16724-2022</t>
        </is>
      </c>
      <c r="B95" s="1" t="n">
        <v>44673</v>
      </c>
      <c r="C95" s="1" t="n">
        <v>46172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45145-2022</t>
        </is>
      </c>
      <c r="B96" s="1" t="n">
        <v>44844</v>
      </c>
      <c r="C96" s="1" t="n">
        <v>46172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16615-2024</t>
        </is>
      </c>
      <c r="B97" s="1" t="n">
        <v>45408</v>
      </c>
      <c r="C97" s="1" t="n">
        <v>46172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51082-2024</t>
        </is>
      </c>
      <c r="B98" s="1" t="n">
        <v>45603.46126157408</v>
      </c>
      <c r="C98" s="1" t="n">
        <v>46172</v>
      </c>
      <c r="D98" t="inlineStr">
        <is>
          <t>STOCKHOLMS LÄN</t>
        </is>
      </c>
      <c r="E98" t="inlineStr">
        <is>
          <t>SÖDERTÄLJE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46172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46172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46172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51026-2024</t>
        </is>
      </c>
      <c r="B102" s="1" t="n">
        <v>45603.4181712963</v>
      </c>
      <c r="C102" s="1" t="n">
        <v>46172</v>
      </c>
      <c r="D102" t="inlineStr">
        <is>
          <t>STOCKHOLMS LÄN</t>
        </is>
      </c>
      <c r="E102" t="inlineStr">
        <is>
          <t>SÖDERTÄLJE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46172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46172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46172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48820-2022</t>
        </is>
      </c>
      <c r="B106" s="1" t="n">
        <v>44859</v>
      </c>
      <c r="C106" s="1" t="n">
        <v>46172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34193-2024</t>
        </is>
      </c>
      <c r="B107" s="1" t="n">
        <v>45524.46203703704</v>
      </c>
      <c r="C107" s="1" t="n">
        <v>46172</v>
      </c>
      <c r="D107" t="inlineStr">
        <is>
          <t>STOCKHOLMS LÄN</t>
        </is>
      </c>
      <c r="E107" t="inlineStr">
        <is>
          <t>SÖDERTÄLJE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26812-2022</t>
        </is>
      </c>
      <c r="B108" s="1" t="n">
        <v>44740</v>
      </c>
      <c r="C108" s="1" t="n">
        <v>46172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62320-2023</t>
        </is>
      </c>
      <c r="B109" s="1" t="n">
        <v>45267</v>
      </c>
      <c r="C109" s="1" t="n">
        <v>46172</v>
      </c>
      <c r="D109" t="inlineStr">
        <is>
          <t>STOCKHOLMS LÄN</t>
        </is>
      </c>
      <c r="E109" t="inlineStr">
        <is>
          <t>SÖDERTÄLJE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46172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46172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46172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41702-2025</t>
        </is>
      </c>
      <c r="B113" s="1" t="n">
        <v>45902.41623842593</v>
      </c>
      <c r="C113" s="1" t="n">
        <v>46172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57884-2021</t>
        </is>
      </c>
      <c r="B114" s="1" t="n">
        <v>44485</v>
      </c>
      <c r="C114" s="1" t="n">
        <v>46172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23367-2024</t>
        </is>
      </c>
      <c r="B115" s="1" t="n">
        <v>45453</v>
      </c>
      <c r="C115" s="1" t="n">
        <v>46172</v>
      </c>
      <c r="D115" t="inlineStr">
        <is>
          <t>STOCKHOLMS LÄN</t>
        </is>
      </c>
      <c r="E115" t="inlineStr">
        <is>
          <t>SÖDERTÄLJE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8323-2025</t>
        </is>
      </c>
      <c r="B116" s="1" t="n">
        <v>45708.6322337963</v>
      </c>
      <c r="C116" s="1" t="n">
        <v>46172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55941-2023</t>
        </is>
      </c>
      <c r="B117" s="1" t="n">
        <v>45240</v>
      </c>
      <c r="C117" s="1" t="n">
        <v>46172</v>
      </c>
      <c r="D117" t="inlineStr">
        <is>
          <t>STOCKHOLMS LÄN</t>
        </is>
      </c>
      <c r="E117" t="inlineStr">
        <is>
          <t>SÖDERTÄLJE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28982-2024</t>
        </is>
      </c>
      <c r="B118" s="1" t="n">
        <v>45481.47568287037</v>
      </c>
      <c r="C118" s="1" t="n">
        <v>46172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6886-2022</t>
        </is>
      </c>
      <c r="B119" s="1" t="n">
        <v>44602</v>
      </c>
      <c r="C119" s="1" t="n">
        <v>46172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9891-2025</t>
        </is>
      </c>
      <c r="B120" s="1" t="n">
        <v>45716.70479166666</v>
      </c>
      <c r="C120" s="1" t="n">
        <v>46172</v>
      </c>
      <c r="D120" t="inlineStr">
        <is>
          <t>STOCKHOLMS LÄN</t>
        </is>
      </c>
      <c r="E120" t="inlineStr">
        <is>
          <t>SÖDERTÄLJE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92-2024</t>
        </is>
      </c>
      <c r="B121" s="1" t="n">
        <v>45293</v>
      </c>
      <c r="C121" s="1" t="n">
        <v>46172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12907-2024</t>
        </is>
      </c>
      <c r="B122" s="1" t="n">
        <v>45385</v>
      </c>
      <c r="C122" s="1" t="n">
        <v>46172</v>
      </c>
      <c r="D122" t="inlineStr">
        <is>
          <t>STOCKHOLMS LÄN</t>
        </is>
      </c>
      <c r="E122" t="inlineStr">
        <is>
          <t>SÖDERTÄLJE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26909-2024</t>
        </is>
      </c>
      <c r="B123" s="1" t="n">
        <v>45470</v>
      </c>
      <c r="C123" s="1" t="n">
        <v>46172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28502-2023</t>
        </is>
      </c>
      <c r="B124" s="1" t="n">
        <v>45103</v>
      </c>
      <c r="C124" s="1" t="n">
        <v>46172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9562-2025</t>
        </is>
      </c>
      <c r="B125" s="1" t="n">
        <v>45715.61215277778</v>
      </c>
      <c r="C125" s="1" t="n">
        <v>46172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46172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8611-2023</t>
        </is>
      </c>
      <c r="B127" s="1" t="n">
        <v>44977</v>
      </c>
      <c r="C127" s="1" t="n">
        <v>46172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1016-2022</t>
        </is>
      </c>
      <c r="B128" s="1" t="n">
        <v>44571</v>
      </c>
      <c r="C128" s="1" t="n">
        <v>46172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8320-2025</t>
        </is>
      </c>
      <c r="B129" s="1" t="n">
        <v>45708.62876157407</v>
      </c>
      <c r="C129" s="1" t="n">
        <v>46172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35942-2022</t>
        </is>
      </c>
      <c r="B130" s="1" t="n">
        <v>44802</v>
      </c>
      <c r="C130" s="1" t="n">
        <v>46172</v>
      </c>
      <c r="D130" t="inlineStr">
        <is>
          <t>STOCKHOLMS LÄN</t>
        </is>
      </c>
      <c r="E130" t="inlineStr">
        <is>
          <t>SÖDERTÄLJE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46172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24034-2022</t>
        </is>
      </c>
      <c r="B132" s="1" t="n">
        <v>44724</v>
      </c>
      <c r="C132" s="1" t="n">
        <v>46172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3108-2024</t>
        </is>
      </c>
      <c r="B133" s="1" t="n">
        <v>45316</v>
      </c>
      <c r="C133" s="1" t="n">
        <v>46172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42337-2024</t>
        </is>
      </c>
      <c r="B134" s="1" t="n">
        <v>45562</v>
      </c>
      <c r="C134" s="1" t="n">
        <v>46172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37842-2022</t>
        </is>
      </c>
      <c r="B135" s="1" t="n">
        <v>44810</v>
      </c>
      <c r="C135" s="1" t="n">
        <v>46172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72218-2021</t>
        </is>
      </c>
      <c r="B136" s="1" t="n">
        <v>44544.76424768518</v>
      </c>
      <c r="C136" s="1" t="n">
        <v>46172</v>
      </c>
      <c r="D136" t="inlineStr">
        <is>
          <t>STOCKHOLMS LÄN</t>
        </is>
      </c>
      <c r="E136" t="inlineStr">
        <is>
          <t>SÖDERTÄLJE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49136-2021</t>
        </is>
      </c>
      <c r="B137" s="1" t="n">
        <v>44453.91797453703</v>
      </c>
      <c r="C137" s="1" t="n">
        <v>46172</v>
      </c>
      <c r="D137" t="inlineStr">
        <is>
          <t>STOCKHOLMS LÄN</t>
        </is>
      </c>
      <c r="E137" t="inlineStr">
        <is>
          <t>SÖDERTÄLJE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18592-2023</t>
        </is>
      </c>
      <c r="B138" s="1" t="n">
        <v>45043</v>
      </c>
      <c r="C138" s="1" t="n">
        <v>46172</v>
      </c>
      <c r="D138" t="inlineStr">
        <is>
          <t>STOCKHOLMS LÄN</t>
        </is>
      </c>
      <c r="E138" t="inlineStr">
        <is>
          <t>SÖDERTÄLJE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46172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46172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20530-2024</t>
        </is>
      </c>
      <c r="B141" s="1" t="n">
        <v>45435</v>
      </c>
      <c r="C141" s="1" t="n">
        <v>46172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56354-2023</t>
        </is>
      </c>
      <c r="B142" s="1" t="n">
        <v>45243</v>
      </c>
      <c r="C142" s="1" t="n">
        <v>46172</v>
      </c>
      <c r="D142" t="inlineStr">
        <is>
          <t>STOCKHOLMS LÄN</t>
        </is>
      </c>
      <c r="E142" t="inlineStr">
        <is>
          <t>SÖDERTÄLJE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35918-2022</t>
        </is>
      </c>
      <c r="B143" s="1" t="n">
        <v>44802</v>
      </c>
      <c r="C143" s="1" t="n">
        <v>46172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31375-2024</t>
        </is>
      </c>
      <c r="B144" s="1" t="n">
        <v>45505</v>
      </c>
      <c r="C144" s="1" t="n">
        <v>46172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46172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8316-2025</t>
        </is>
      </c>
      <c r="B146" s="1" t="n">
        <v>45708.6225462963</v>
      </c>
      <c r="C146" s="1" t="n">
        <v>46172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55940-2023</t>
        </is>
      </c>
      <c r="B147" s="1" t="n">
        <v>45240.30215277777</v>
      </c>
      <c r="C147" s="1" t="n">
        <v>46172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48342-2025</t>
        </is>
      </c>
      <c r="B148" s="1" t="n">
        <v>45933</v>
      </c>
      <c r="C148" s="1" t="n">
        <v>46172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48046-2025</t>
        </is>
      </c>
      <c r="B149" s="1" t="n">
        <v>45932.67148148148</v>
      </c>
      <c r="C149" s="1" t="n">
        <v>46172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46172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46172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56596-2023</t>
        </is>
      </c>
      <c r="B152" s="1" t="n">
        <v>45243</v>
      </c>
      <c r="C152" s="1" t="n">
        <v>46172</v>
      </c>
      <c r="D152" t="inlineStr">
        <is>
          <t>STOCKHOLMS LÄN</t>
        </is>
      </c>
      <c r="E152" t="inlineStr">
        <is>
          <t>SÖDERTÄLJE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51931-2023</t>
        </is>
      </c>
      <c r="B153" s="1" t="n">
        <v>45216</v>
      </c>
      <c r="C153" s="1" t="n">
        <v>46172</v>
      </c>
      <c r="D153" t="inlineStr">
        <is>
          <t>STOCKHOLMS LÄN</t>
        </is>
      </c>
      <c r="E153" t="inlineStr">
        <is>
          <t>SÖDERTÄLJE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34194-2024</t>
        </is>
      </c>
      <c r="B154" s="1" t="n">
        <v>45524</v>
      </c>
      <c r="C154" s="1" t="n">
        <v>46172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4440-2023</t>
        </is>
      </c>
      <c r="B155" s="1" t="n">
        <v>44956</v>
      </c>
      <c r="C155" s="1" t="n">
        <v>46172</v>
      </c>
      <c r="D155" t="inlineStr">
        <is>
          <t>STOCKHOLMS LÄN</t>
        </is>
      </c>
      <c r="E155" t="inlineStr">
        <is>
          <t>SÖDERTÄLJE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1759-2025</t>
        </is>
      </c>
      <c r="B156" s="1" t="n">
        <v>45671.42385416666</v>
      </c>
      <c r="C156" s="1" t="n">
        <v>46172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31212-2024</t>
        </is>
      </c>
      <c r="B157" s="1" t="n">
        <v>45503</v>
      </c>
      <c r="C157" s="1" t="n">
        <v>46172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58140-2023</t>
        </is>
      </c>
      <c r="B158" s="1" t="n">
        <v>45250</v>
      </c>
      <c r="C158" s="1" t="n">
        <v>46172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46172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487-2024</t>
        </is>
      </c>
      <c r="B160" s="1" t="n">
        <v>45298.85216435185</v>
      </c>
      <c r="C160" s="1" t="n">
        <v>46172</v>
      </c>
      <c r="D160" t="inlineStr">
        <is>
          <t>STOCKHOLMS LÄN</t>
        </is>
      </c>
      <c r="E160" t="inlineStr">
        <is>
          <t>SÖDERTÄLJE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45184-2022</t>
        </is>
      </c>
      <c r="B161" s="1" t="n">
        <v>44844.39888888889</v>
      </c>
      <c r="C161" s="1" t="n">
        <v>46172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2529-2023</t>
        </is>
      </c>
      <c r="B162" s="1" t="n">
        <v>44943.60554398148</v>
      </c>
      <c r="C162" s="1" t="n">
        <v>46172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54448-2025</t>
        </is>
      </c>
      <c r="B163" s="1" t="n">
        <v>45965</v>
      </c>
      <c r="C163" s="1" t="n">
        <v>46172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47576-2023</t>
        </is>
      </c>
      <c r="B164" s="1" t="n">
        <v>45197</v>
      </c>
      <c r="C164" s="1" t="n">
        <v>46172</v>
      </c>
      <c r="D164" t="inlineStr">
        <is>
          <t>STOCKHOLMS LÄN</t>
        </is>
      </c>
      <c r="E164" t="inlineStr">
        <is>
          <t>SÖDERTÄLJE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36112-2022</t>
        </is>
      </c>
      <c r="B165" s="1" t="n">
        <v>44802</v>
      </c>
      <c r="C165" s="1" t="n">
        <v>46172</v>
      </c>
      <c r="D165" t="inlineStr">
        <is>
          <t>STOCKHOLMS LÄN</t>
        </is>
      </c>
      <c r="E165" t="inlineStr">
        <is>
          <t>SÖDERTÄLJE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37536-2024</t>
        </is>
      </c>
      <c r="B166" s="1" t="n">
        <v>45541</v>
      </c>
      <c r="C166" s="1" t="n">
        <v>46172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55532-2025</t>
        </is>
      </c>
      <c r="B167" s="1" t="n">
        <v>45971.62462962963</v>
      </c>
      <c r="C167" s="1" t="n">
        <v>46172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44790.60921296296</v>
      </c>
      <c r="C168" s="1" t="n">
        <v>46172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47977-2022</t>
        </is>
      </c>
      <c r="B169" s="1" t="n">
        <v>44855</v>
      </c>
      <c r="C169" s="1" t="n">
        <v>46172</v>
      </c>
      <c r="D169" t="inlineStr">
        <is>
          <t>STOCKHOLMS LÄN</t>
        </is>
      </c>
      <c r="E169" t="inlineStr">
        <is>
          <t>SÖDERTÄLJE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35113-2023</t>
        </is>
      </c>
      <c r="B170" s="1" t="n">
        <v>45145</v>
      </c>
      <c r="C170" s="1" t="n">
        <v>46172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17979-2024</t>
        </is>
      </c>
      <c r="B171" s="1" t="n">
        <v>45419.86915509259</v>
      </c>
      <c r="C171" s="1" t="n">
        <v>46172</v>
      </c>
      <c r="D171" t="inlineStr">
        <is>
          <t>STOCKHOLMS LÄN</t>
        </is>
      </c>
      <c r="E171" t="inlineStr">
        <is>
          <t>SÖDERTÄLJE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19210-2024</t>
        </is>
      </c>
      <c r="B172" s="1" t="n">
        <v>45428.54665509259</v>
      </c>
      <c r="C172" s="1" t="n">
        <v>46172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51353-2024</t>
        </is>
      </c>
      <c r="B173" s="1" t="n">
        <v>45604.36140046296</v>
      </c>
      <c r="C173" s="1" t="n">
        <v>46172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60897-2025</t>
        </is>
      </c>
      <c r="B174" s="1" t="n">
        <v>45999.58038194444</v>
      </c>
      <c r="C174" s="1" t="n">
        <v>46172</v>
      </c>
      <c r="D174" t="inlineStr">
        <is>
          <t>STOCKHOLMS LÄN</t>
        </is>
      </c>
      <c r="E174" t="inlineStr">
        <is>
          <t>SÖDERTÄLJE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25414-2025</t>
        </is>
      </c>
      <c r="B175" s="1" t="n">
        <v>45799</v>
      </c>
      <c r="C175" s="1" t="n">
        <v>46172</v>
      </c>
      <c r="D175" t="inlineStr">
        <is>
          <t>STOCKHOLMS LÄN</t>
        </is>
      </c>
      <c r="E175" t="inlineStr">
        <is>
          <t>SÖDERTÄLJE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25396-2025</t>
        </is>
      </c>
      <c r="B176" s="1" t="n">
        <v>45799</v>
      </c>
      <c r="C176" s="1" t="n">
        <v>46172</v>
      </c>
      <c r="D176" t="inlineStr">
        <is>
          <t>STOCKHOLMS LÄN</t>
        </is>
      </c>
      <c r="E176" t="inlineStr">
        <is>
          <t>SÖDERTÄLJE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25412-2025</t>
        </is>
      </c>
      <c r="B177" s="1" t="n">
        <v>45799</v>
      </c>
      <c r="C177" s="1" t="n">
        <v>46172</v>
      </c>
      <c r="D177" t="inlineStr">
        <is>
          <t>STOCKHOLMS LÄN</t>
        </is>
      </c>
      <c r="E177" t="inlineStr">
        <is>
          <t>SÖDERTÄLJE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25415-2025</t>
        </is>
      </c>
      <c r="B178" s="1" t="n">
        <v>45799</v>
      </c>
      <c r="C178" s="1" t="n">
        <v>46172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61735-2025</t>
        </is>
      </c>
      <c r="B179" s="1" t="n">
        <v>46002.594375</v>
      </c>
      <c r="C179" s="1" t="n">
        <v>46172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62047-2025</t>
        </is>
      </c>
      <c r="B180" s="1" t="n">
        <v>46006.30792824074</v>
      </c>
      <c r="C180" s="1" t="n">
        <v>46172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62049-2025</t>
        </is>
      </c>
      <c r="B181" s="1" t="n">
        <v>46006.3159837963</v>
      </c>
      <c r="C181" s="1" t="n">
        <v>46172</v>
      </c>
      <c r="D181" t="inlineStr">
        <is>
          <t>STOCKHOLMS LÄN</t>
        </is>
      </c>
      <c r="E181" t="inlineStr">
        <is>
          <t>SÖDERTÄLJE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234-2026</t>
        </is>
      </c>
      <c r="B182" s="1" t="n">
        <v>46027.36018518519</v>
      </c>
      <c r="C182" s="1" t="n">
        <v>46172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243-2026</t>
        </is>
      </c>
      <c r="B183" s="1" t="n">
        <v>46027.39109953704</v>
      </c>
      <c r="C183" s="1" t="n">
        <v>46172</v>
      </c>
      <c r="D183" t="inlineStr">
        <is>
          <t>STOCKHOLMS LÄN</t>
        </is>
      </c>
      <c r="E183" t="inlineStr">
        <is>
          <t>SÖDERTÄLJE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231-2026</t>
        </is>
      </c>
      <c r="B184" s="1" t="n">
        <v>46027.34201388889</v>
      </c>
      <c r="C184" s="1" t="n">
        <v>46172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233-2026</t>
        </is>
      </c>
      <c r="B185" s="1" t="n">
        <v>46027.34767361111</v>
      </c>
      <c r="C185" s="1" t="n">
        <v>46172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28346-2025</t>
        </is>
      </c>
      <c r="B186" s="1" t="n">
        <v>45818.70325231482</v>
      </c>
      <c r="C186" s="1" t="n">
        <v>46172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1150-2026</t>
        </is>
      </c>
      <c r="B187" s="1" t="n">
        <v>46030.98674768519</v>
      </c>
      <c r="C187" s="1" t="n">
        <v>46172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1696-2026</t>
        </is>
      </c>
      <c r="B188" s="1" t="n">
        <v>46034.59373842592</v>
      </c>
      <c r="C188" s="1" t="n">
        <v>46172</v>
      </c>
      <c r="D188" t="inlineStr">
        <is>
          <t>STOCKHOLMS LÄN</t>
        </is>
      </c>
      <c r="E188" t="inlineStr">
        <is>
          <t>SÖDERTÄLJE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1715-2026</t>
        </is>
      </c>
      <c r="B189" s="1" t="n">
        <v>46034.60863425926</v>
      </c>
      <c r="C189" s="1" t="n">
        <v>46172</v>
      </c>
      <c r="D189" t="inlineStr">
        <is>
          <t>STOCKHOLMS LÄN</t>
        </is>
      </c>
      <c r="E189" t="inlineStr">
        <is>
          <t>SÖDERTÄLJE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2542-2026</t>
        </is>
      </c>
      <c r="B190" s="1" t="n">
        <v>46037.46063657408</v>
      </c>
      <c r="C190" s="1" t="n">
        <v>46172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29336-2025</t>
        </is>
      </c>
      <c r="B191" s="1" t="n">
        <v>45824.49658564815</v>
      </c>
      <c r="C191" s="1" t="n">
        <v>46172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29770-2025</t>
        </is>
      </c>
      <c r="B192" s="1" t="n">
        <v>45825.62880787037</v>
      </c>
      <c r="C192" s="1" t="n">
        <v>46172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2685-2026</t>
        </is>
      </c>
      <c r="B193" s="1" t="n">
        <v>46037.65710648148</v>
      </c>
      <c r="C193" s="1" t="n">
        <v>46172</v>
      </c>
      <c r="D193" t="inlineStr">
        <is>
          <t>STOCKHOLMS LÄN</t>
        </is>
      </c>
      <c r="E193" t="inlineStr">
        <is>
          <t>SÖDERTÄLJE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31086-2025</t>
        </is>
      </c>
      <c r="B194" s="1" t="n">
        <v>45832.59052083334</v>
      </c>
      <c r="C194" s="1" t="n">
        <v>46172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7023-2026</t>
        </is>
      </c>
      <c r="B195" s="1" t="n">
        <v>46057.66645833333</v>
      </c>
      <c r="C195" s="1" t="n">
        <v>46172</v>
      </c>
      <c r="D195" t="inlineStr">
        <is>
          <t>STOCKHOLMS LÄN</t>
        </is>
      </c>
      <c r="E195" t="inlineStr">
        <is>
          <t>SÖDERTÄLJE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3152-2026</t>
        </is>
      </c>
      <c r="B196" s="1" t="n">
        <v>46041</v>
      </c>
      <c r="C196" s="1" t="n">
        <v>46172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9234-2026</t>
        </is>
      </c>
      <c r="B197" s="1" t="n">
        <v>46070.46931712963</v>
      </c>
      <c r="C197" s="1" t="n">
        <v>46172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46172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10414-2026</t>
        </is>
      </c>
      <c r="B199" s="1" t="n">
        <v>46077.34652777778</v>
      </c>
      <c r="C199" s="1" t="n">
        <v>46172</v>
      </c>
      <c r="D199" t="inlineStr">
        <is>
          <t>STOCKHOLMS LÄN</t>
        </is>
      </c>
      <c r="E199" t="inlineStr">
        <is>
          <t>SÖDERTÄLJE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10426-2026</t>
        </is>
      </c>
      <c r="B200" s="1" t="n">
        <v>46077.37449074074</v>
      </c>
      <c r="C200" s="1" t="n">
        <v>46172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10446-2026</t>
        </is>
      </c>
      <c r="B201" s="1" t="n">
        <v>46077.43023148148</v>
      </c>
      <c r="C201" s="1" t="n">
        <v>46172</v>
      </c>
      <c r="D201" t="inlineStr">
        <is>
          <t>STOCKHOLMS LÄN</t>
        </is>
      </c>
      <c r="E201" t="inlineStr">
        <is>
          <t>SÖDERTÄLJE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10417-2026</t>
        </is>
      </c>
      <c r="B202" s="1" t="n">
        <v>46077.35170138889</v>
      </c>
      <c r="C202" s="1" t="n">
        <v>46172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10425-2026</t>
        </is>
      </c>
      <c r="B203" s="1" t="n">
        <v>46077.36981481482</v>
      </c>
      <c r="C203" s="1" t="n">
        <v>46172</v>
      </c>
      <c r="D203" t="inlineStr">
        <is>
          <t>STOCKHOLMS LÄN</t>
        </is>
      </c>
      <c r="E203" t="inlineStr">
        <is>
          <t>SÖDERTÄLJE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10450-2026</t>
        </is>
      </c>
      <c r="B204" s="1" t="n">
        <v>46077.43619212963</v>
      </c>
      <c r="C204" s="1" t="n">
        <v>46172</v>
      </c>
      <c r="D204" t="inlineStr">
        <is>
          <t>STOCKHOLMS LÄN</t>
        </is>
      </c>
      <c r="E204" t="inlineStr">
        <is>
          <t>SÖDERTÄLJE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10452-2026</t>
        </is>
      </c>
      <c r="B205" s="1" t="n">
        <v>46077.43957175926</v>
      </c>
      <c r="C205" s="1" t="n">
        <v>46172</v>
      </c>
      <c r="D205" t="inlineStr">
        <is>
          <t>STOCKHOLMS LÄN</t>
        </is>
      </c>
      <c r="E205" t="inlineStr">
        <is>
          <t>SÖDERTÄLJE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10404-2026</t>
        </is>
      </c>
      <c r="B206" s="1" t="n">
        <v>46077.34288194445</v>
      </c>
      <c r="C206" s="1" t="n">
        <v>46172</v>
      </c>
      <c r="D206" t="inlineStr">
        <is>
          <t>STOCKHOLMS LÄN</t>
        </is>
      </c>
      <c r="E206" t="inlineStr">
        <is>
          <t>SÖDERTÄLJE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10428-2026</t>
        </is>
      </c>
      <c r="B207" s="1" t="n">
        <v>46077.37820601852</v>
      </c>
      <c r="C207" s="1" t="n">
        <v>46172</v>
      </c>
      <c r="D207" t="inlineStr">
        <is>
          <t>STOCKHOLMS LÄN</t>
        </is>
      </c>
      <c r="E207" t="inlineStr">
        <is>
          <t>SÖDERTÄLJE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12116-2026</t>
        </is>
      </c>
      <c r="B208" s="1" t="n">
        <v>46086.54368055556</v>
      </c>
      <c r="C208" s="1" t="n">
        <v>46172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12121-2026</t>
        </is>
      </c>
      <c r="B209" s="1" t="n">
        <v>46086.54655092592</v>
      </c>
      <c r="C209" s="1" t="n">
        <v>46172</v>
      </c>
      <c r="D209" t="inlineStr">
        <is>
          <t>STOCKHOLMS LÄN</t>
        </is>
      </c>
      <c r="E209" t="inlineStr">
        <is>
          <t>SÖDERTÄLJE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19078-2026</t>
        </is>
      </c>
      <c r="B210" s="1" t="n">
        <v>46132.38715277778</v>
      </c>
      <c r="C210" s="1" t="n">
        <v>46172</v>
      </c>
      <c r="D210" t="inlineStr">
        <is>
          <t>STOCKHOLMS LÄN</t>
        </is>
      </c>
      <c r="E210" t="inlineStr">
        <is>
          <t>SÖDERTÄLJE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19071-2026</t>
        </is>
      </c>
      <c r="B211" s="1" t="n">
        <v>46132.38078703704</v>
      </c>
      <c r="C211" s="1" t="n">
        <v>46172</v>
      </c>
      <c r="D211" t="inlineStr">
        <is>
          <t>STOCKHOLMS LÄN</t>
        </is>
      </c>
      <c r="E211" t="inlineStr">
        <is>
          <t>SÖDERTÄLJE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38194-2025</t>
        </is>
      </c>
      <c r="B212" s="1" t="n">
        <v>45882.65921296296</v>
      </c>
      <c r="C212" s="1" t="n">
        <v>46172</v>
      </c>
      <c r="D212" t="inlineStr">
        <is>
          <t>STOCKHOLMS LÄN</t>
        </is>
      </c>
      <c r="E212" t="inlineStr">
        <is>
          <t>SÖDERTÄLJE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20603-2026</t>
        </is>
      </c>
      <c r="B213" s="1" t="n">
        <v>46140.67371527778</v>
      </c>
      <c r="C213" s="1" t="n">
        <v>46172</v>
      </c>
      <c r="D213" t="inlineStr">
        <is>
          <t>STOCKHOLMS LÄN</t>
        </is>
      </c>
      <c r="E213" t="inlineStr">
        <is>
          <t>SÖDERTÄLJE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20582-2026</t>
        </is>
      </c>
      <c r="B214" s="1" t="n">
        <v>46140.63724537037</v>
      </c>
      <c r="C214" s="1" t="n">
        <v>46172</v>
      </c>
      <c r="D214" t="inlineStr">
        <is>
          <t>STOCKHOLMS LÄN</t>
        </is>
      </c>
      <c r="E214" t="inlineStr">
        <is>
          <t>SÖDERTÄLJE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20579-2026</t>
        </is>
      </c>
      <c r="B215" s="1" t="n">
        <v>46140.63144675926</v>
      </c>
      <c r="C215" s="1" t="n">
        <v>46172</v>
      </c>
      <c r="D215" t="inlineStr">
        <is>
          <t>STOCKHOLMS LÄN</t>
        </is>
      </c>
      <c r="E215" t="inlineStr">
        <is>
          <t>SÖDERTÄLJE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13957-2026</t>
        </is>
      </c>
      <c r="B216" s="1" t="n">
        <v>46098.55598379629</v>
      </c>
      <c r="C216" s="1" t="n">
        <v>46172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13943-2026</t>
        </is>
      </c>
      <c r="B217" s="1" t="n">
        <v>46098.53907407408</v>
      </c>
      <c r="C217" s="1" t="n">
        <v>46172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20591-2026</t>
        </is>
      </c>
      <c r="B218" s="1" t="n">
        <v>46140.65243055556</v>
      </c>
      <c r="C218" s="1" t="n">
        <v>46172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20596-2026</t>
        </is>
      </c>
      <c r="B219" s="1" t="n">
        <v>46140.65876157407</v>
      </c>
      <c r="C219" s="1" t="n">
        <v>46172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15964-2026</t>
        </is>
      </c>
      <c r="B220" s="1" t="n">
        <v>46108.33048611111</v>
      </c>
      <c r="C220" s="1" t="n">
        <v>46172</v>
      </c>
      <c r="D220" t="inlineStr">
        <is>
          <t>STOCKHOLMS LÄN</t>
        </is>
      </c>
      <c r="E220" t="inlineStr">
        <is>
          <t>SÖDERTÄLJE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21483-2026</t>
        </is>
      </c>
      <c r="B221" s="1" t="n">
        <v>46148</v>
      </c>
      <c r="C221" s="1" t="n">
        <v>46172</v>
      </c>
      <c r="D221" t="inlineStr">
        <is>
          <t>STOCKHOLMS LÄN</t>
        </is>
      </c>
      <c r="E221" t="inlineStr">
        <is>
          <t>SÖDERTÄLJE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23357-2026</t>
        </is>
      </c>
      <c r="B222" s="1" t="n">
        <v>46162.61582175926</v>
      </c>
      <c r="C222" s="1" t="n">
        <v>46172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23632-2026</t>
        </is>
      </c>
      <c r="B223" s="1" t="n">
        <v>46163.77383101852</v>
      </c>
      <c r="C223" s="1" t="n">
        <v>46172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2026-05-30T10:52:28Z</dcterms:created>
  <dcterms:modified xmlns:dcterms="http://purl.org/dc/terms/" xmlns:xsi="http://www.w3.org/2001/XMLSchema-instance" xsi:type="dcterms:W3CDTF">2026-05-30T10:52:28Z</dcterms:modified>
</cp:coreProperties>
</file>