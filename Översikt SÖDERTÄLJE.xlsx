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45625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45625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45625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45625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45625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45625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45625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45625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45625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45625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45625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59655-2019</t>
        </is>
      </c>
      <c r="B13" s="1" t="n">
        <v>43776</v>
      </c>
      <c r="C13" s="1" t="n">
        <v>45625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Fjällig taggsvamp s.str.
Guldkremla
Skarp dropptaggsvamp</t>
        </is>
      </c>
      <c r="S13">
        <f>HYPERLINK("https://klasma.github.io/Logging_0181/artfynd/A 59655-2019 artfynd.xlsx", "A 59655-2019")</f>
        <v/>
      </c>
      <c r="T13">
        <f>HYPERLINK("https://klasma.github.io/Logging_0181/kartor/A 59655-2019 karta.png", "A 59655-2019")</f>
        <v/>
      </c>
      <c r="V13">
        <f>HYPERLINK("https://klasma.github.io/Logging_0181/klagomål/A 59655-2019 FSC-klagomål.docx", "A 59655-2019")</f>
        <v/>
      </c>
      <c r="W13">
        <f>HYPERLINK("https://klasma.github.io/Logging_0181/klagomålsmail/A 59655-2019 FSC-klagomål mail.docx", "A 59655-2019")</f>
        <v/>
      </c>
      <c r="X13">
        <f>HYPERLINK("https://klasma.github.io/Logging_0181/tillsyn/A 59655-2019 tillsynsbegäran.docx", "A 59655-2019")</f>
        <v/>
      </c>
      <c r="Y13">
        <f>HYPERLINK("https://klasma.github.io/Logging_0181/tillsynsmail/A 59655-2019 tillsynsbegäran mail.docx", "A 59655-2019")</f>
        <v/>
      </c>
    </row>
    <row r="14" ht="15" customHeight="1">
      <c r="A14" t="inlineStr">
        <is>
          <t>A 46303-2020</t>
        </is>
      </c>
      <c r="B14" s="1" t="n">
        <v>44092</v>
      </c>
      <c r="C14" s="1" t="n">
        <v>45625</v>
      </c>
      <c r="D14" t="inlineStr">
        <is>
          <t>STOCKHOLMS LÄN</t>
        </is>
      </c>
      <c r="E14" t="inlineStr">
        <is>
          <t>SÖDERTÄLJE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1</v>
      </c>
      <c r="N14" t="n">
        <v>0</v>
      </c>
      <c r="O14" t="n">
        <v>3</v>
      </c>
      <c r="P14" t="n">
        <v>3</v>
      </c>
      <c r="Q14" t="n">
        <v>3</v>
      </c>
      <c r="R14" s="2" t="inlineStr">
        <is>
          <t>Skogsalm
Ask
Grenticka</t>
        </is>
      </c>
      <c r="S14">
        <f>HYPERLINK("https://klasma.github.io/Logging_0181/artfynd/A 46303-2020 artfynd.xlsx", "A 46303-2020")</f>
        <v/>
      </c>
      <c r="T14">
        <f>HYPERLINK("https://klasma.github.io/Logging_0181/kartor/A 46303-2020 karta.png", "A 46303-2020")</f>
        <v/>
      </c>
      <c r="V14">
        <f>HYPERLINK("https://klasma.github.io/Logging_0181/klagomål/A 46303-2020 FSC-klagomål.docx", "A 46303-2020")</f>
        <v/>
      </c>
      <c r="W14">
        <f>HYPERLINK("https://klasma.github.io/Logging_0181/klagomålsmail/A 46303-2020 FSC-klagomål mail.docx", "A 46303-2020")</f>
        <v/>
      </c>
      <c r="X14">
        <f>HYPERLINK("https://klasma.github.io/Logging_0181/tillsyn/A 46303-2020 tillsynsbegäran.docx", "A 46303-2020")</f>
        <v/>
      </c>
      <c r="Y14">
        <f>HYPERLINK("https://klasma.github.io/Logging_0181/tillsynsmail/A 46303-2020 tillsynsbegäran mail.docx", "A 46303-2020")</f>
        <v/>
      </c>
    </row>
    <row r="15" ht="15" customHeight="1">
      <c r="A15" t="inlineStr">
        <is>
          <t>A 32041-2023</t>
        </is>
      </c>
      <c r="B15" s="1" t="n">
        <v>45119</v>
      </c>
      <c r="C15" s="1" t="n">
        <v>45625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Stor bockrot
Krusfrö
Svinrot</t>
        </is>
      </c>
      <c r="S15">
        <f>HYPERLINK("https://klasma.github.io/Logging_0181/artfynd/A 32041-2023 artfynd.xlsx", "A 32041-2023")</f>
        <v/>
      </c>
      <c r="T15">
        <f>HYPERLINK("https://klasma.github.io/Logging_0181/kartor/A 32041-2023 karta.png", "A 32041-2023")</f>
        <v/>
      </c>
      <c r="V15">
        <f>HYPERLINK("https://klasma.github.io/Logging_0181/klagomål/A 32041-2023 FSC-klagomål.docx", "A 32041-2023")</f>
        <v/>
      </c>
      <c r="W15">
        <f>HYPERLINK("https://klasma.github.io/Logging_0181/klagomålsmail/A 32041-2023 FSC-klagomål mail.docx", "A 32041-2023")</f>
        <v/>
      </c>
      <c r="X15">
        <f>HYPERLINK("https://klasma.github.io/Logging_0181/tillsyn/A 32041-2023 tillsynsbegäran.docx", "A 32041-2023")</f>
        <v/>
      </c>
      <c r="Y15">
        <f>HYPERLINK("https://klasma.github.io/Logging_0181/tillsynsmail/A 32041-2023 tillsynsbegäran mail.docx", "A 32041-2023")</f>
        <v/>
      </c>
    </row>
    <row r="16" ht="15" customHeight="1">
      <c r="A16" t="inlineStr">
        <is>
          <t>A 36955-2024</t>
        </is>
      </c>
      <c r="B16" s="1" t="n">
        <v>45538</v>
      </c>
      <c r="C16" s="1" t="n">
        <v>45625</v>
      </c>
      <c r="D16" t="inlineStr">
        <is>
          <t>STOCKHOLMS LÄN</t>
        </is>
      </c>
      <c r="E16" t="inlineStr">
        <is>
          <t>SÖDERTÄLJE</t>
        </is>
      </c>
      <c r="G16" t="n">
        <v>7.2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Svart taggsvamp
Dropptaggsvamp</t>
        </is>
      </c>
      <c r="S16">
        <f>HYPERLINK("https://klasma.github.io/Logging_0181/artfynd/A 36955-2024 artfynd.xlsx", "A 36955-2024")</f>
        <v/>
      </c>
      <c r="T16">
        <f>HYPERLINK("https://klasma.github.io/Logging_0181/kartor/A 36955-2024 karta.png", "A 36955-2024")</f>
        <v/>
      </c>
      <c r="U16">
        <f>HYPERLINK("https://klasma.github.io/Logging_0181/knärot/A 36955-2024 karta knärot.png", "A 36955-2024")</f>
        <v/>
      </c>
      <c r="V16">
        <f>HYPERLINK("https://klasma.github.io/Logging_0181/klagomål/A 36955-2024 FSC-klagomål.docx", "A 36955-2024")</f>
        <v/>
      </c>
      <c r="W16">
        <f>HYPERLINK("https://klasma.github.io/Logging_0181/klagomålsmail/A 36955-2024 FSC-klagomål mail.docx", "A 36955-2024")</f>
        <v/>
      </c>
      <c r="X16">
        <f>HYPERLINK("https://klasma.github.io/Logging_0181/tillsyn/A 36955-2024 tillsynsbegäran.docx", "A 36955-2024")</f>
        <v/>
      </c>
      <c r="Y16">
        <f>HYPERLINK("https://klasma.github.io/Logging_0181/tillsynsmail/A 36955-2024 tillsynsbegäran mail.docx", "A 36955-2024")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45625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45625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45625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45625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45625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45625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45625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45625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45625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45625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45625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45625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45625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45625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45625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45625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45625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45625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45625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45625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45625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45625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45625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45625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45625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45625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45625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45625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45625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45625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45625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45625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45625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45625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45625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45625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45625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45625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45625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45625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45625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45625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45625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45625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45625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45625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45625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45625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45625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45625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45625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45625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45625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45625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45625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45625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45625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45625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45625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45625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45625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45625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45625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45625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45625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45625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45625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45625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45625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45625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45625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45625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45625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45625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45625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45625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45625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45625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45625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45625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45625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45625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45625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45625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45625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45625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45625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45625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45625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45625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45625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45625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45625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45625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45625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45625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45625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45625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45625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45625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45625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45625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45625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45625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45625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45625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45625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45625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45625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45625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45625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45625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45625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45625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45625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45625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45625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45625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45625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45625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45625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45625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45625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45625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45625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45625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45625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45625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45625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45625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45625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45625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45625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45625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45625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45625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45625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45625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45625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45625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45625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45625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45625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45625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45625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45625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45625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45625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45625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45625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45625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45625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45625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45625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45625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45625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45625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45625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45625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45625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45625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45625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45625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45625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45625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45625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45625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45625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45625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45625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45625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45625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45625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45625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45625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45625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45625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45625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45625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45625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45625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45625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45625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45625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45625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45625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45625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45625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45625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45625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45625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45625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45625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45625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45625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45625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45625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45625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45625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45625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45625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45625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45625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45625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45625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45625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45625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45625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45625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45625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45625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45625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45625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45625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45625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45625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45625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45625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45625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45625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45625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45625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45625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45625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45625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45625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45625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45625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45625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45625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45625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45625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45625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45625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45625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45625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45625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45625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45625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45625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45625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45625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45625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45625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45625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45625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45625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45625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45625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45625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45625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45625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45625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45625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45625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45625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45625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45625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45625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45625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45625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45625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45625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45625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45625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45625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45625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45625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45625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45625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45625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45625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45625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45625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45625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45625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45625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45625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45625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45625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45625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45625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45625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45625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45625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45625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45625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45625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45625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45625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45625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45625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45625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45625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45625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45625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45625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45625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45625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45625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45625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45625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45625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45625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45625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45625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45625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45625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45625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45625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45625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45625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45625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45625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45625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45625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45625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45625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45625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45625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45625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45625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45625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45625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45625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45625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45625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45625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45625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45625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45625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45625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45625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45625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45625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45625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54600-2024</t>
        </is>
      </c>
      <c r="B353" s="1" t="n">
        <v>45617</v>
      </c>
      <c r="C353" s="1" t="n">
        <v>45625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2024-11-29T15:06:01Z</dcterms:created>
  <dcterms:modified xmlns:dcterms="http://purl.org/dc/terms/" xmlns:xsi="http://www.w3.org/2001/XMLSchema-instance" xsi:type="dcterms:W3CDTF">2024-11-29T15:06:02Z</dcterms:modified>
</cp:coreProperties>
</file>