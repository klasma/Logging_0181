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46038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46038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46038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46038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46038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46038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46038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46038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46038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46038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46038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46038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46038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46038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46038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46038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46038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46038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46038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46038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46038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35155-2023</t>
        </is>
      </c>
      <c r="B27" s="1" t="n">
        <v>45145</v>
      </c>
      <c r="C27" s="1" t="n">
        <v>46038</v>
      </c>
      <c r="D27" t="inlineStr">
        <is>
          <t>STOCKHOLMS LÄN</t>
        </is>
      </c>
      <c r="E27" t="inlineStr">
        <is>
          <t>SÖDERTÄLJE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35155-2023 artfynd.xlsx", "A 35155-2023")</f>
        <v/>
      </c>
      <c r="T27">
        <f>HYPERLINK("https://klasma.github.io/Logging_0181/kartor/A 35155-2023 karta.png", "A 35155-2023")</f>
        <v/>
      </c>
      <c r="V27">
        <f>HYPERLINK("https://klasma.github.io/Logging_0181/klagomål/A 35155-2023 FSC-klagomål.docx", "A 35155-2023")</f>
        <v/>
      </c>
      <c r="W27">
        <f>HYPERLINK("https://klasma.github.io/Logging_0181/klagomålsmail/A 35155-2023 FSC-klagomål mail.docx", "A 35155-2023")</f>
        <v/>
      </c>
      <c r="X27">
        <f>HYPERLINK("https://klasma.github.io/Logging_0181/tillsyn/A 35155-2023 tillsynsbegäran.docx", "A 35155-2023")</f>
        <v/>
      </c>
      <c r="Y27">
        <f>HYPERLINK("https://klasma.github.io/Logging_0181/tillsynsmail/A 35155-2023 tillsynsbegäran mail.docx", "A 35155-2023")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46038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46038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35013-2024</t>
        </is>
      </c>
      <c r="B30" s="1" t="n">
        <v>45527</v>
      </c>
      <c r="C30" s="1" t="n">
        <v>46038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5.8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 fjädermossa</t>
        </is>
      </c>
      <c r="S30">
        <f>HYPERLINK("https://klasma.github.io/Logging_0181/artfynd/A 35013-2024 artfynd.xlsx", "A 35013-2024")</f>
        <v/>
      </c>
      <c r="T30">
        <f>HYPERLINK("https://klasma.github.io/Logging_0181/kartor/A 35013-2024 karta.png", "A 35013-2024")</f>
        <v/>
      </c>
      <c r="V30">
        <f>HYPERLINK("https://klasma.github.io/Logging_0181/klagomål/A 35013-2024 FSC-klagomål.docx", "A 35013-2024")</f>
        <v/>
      </c>
      <c r="W30">
        <f>HYPERLINK("https://klasma.github.io/Logging_0181/klagomålsmail/A 35013-2024 FSC-klagomål mail.docx", "A 35013-2024")</f>
        <v/>
      </c>
      <c r="X30">
        <f>HYPERLINK("https://klasma.github.io/Logging_0181/tillsyn/A 35013-2024 tillsynsbegäran.docx", "A 35013-2024")</f>
        <v/>
      </c>
      <c r="Y30">
        <f>HYPERLINK("https://klasma.github.io/Logging_0181/tillsynsmail/A 35013-2024 tillsynsbegäran mail.docx", "A 35013-2024")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46038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46038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46038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46038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26902-2024</t>
        </is>
      </c>
      <c r="B35" s="1" t="n">
        <v>45470</v>
      </c>
      <c r="C35" s="1" t="n">
        <v>46038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Persiljespindling</t>
        </is>
      </c>
      <c r="S35">
        <f>HYPERLINK("https://klasma.github.io/Logging_0181/artfynd/A 26902-2024 artfynd.xlsx", "A 26902-2024")</f>
        <v/>
      </c>
      <c r="T35">
        <f>HYPERLINK("https://klasma.github.io/Logging_0181/kartor/A 26902-2024 karta.png", "A 26902-2024")</f>
        <v/>
      </c>
      <c r="V35">
        <f>HYPERLINK("https://klasma.github.io/Logging_0181/klagomål/A 26902-2024 FSC-klagomål.docx", "A 26902-2024")</f>
        <v/>
      </c>
      <c r="W35">
        <f>HYPERLINK("https://klasma.github.io/Logging_0181/klagomålsmail/A 26902-2024 FSC-klagomål mail.docx", "A 26902-2024")</f>
        <v/>
      </c>
      <c r="X35">
        <f>HYPERLINK("https://klasma.github.io/Logging_0181/tillsyn/A 26902-2024 tillsynsbegäran.docx", "A 26902-2024")</f>
        <v/>
      </c>
      <c r="Y35">
        <f>HYPERLINK("https://klasma.github.io/Logging_0181/tillsynsmail/A 26902-2024 tillsynsbegäran mail.docx", "A 26902-2024")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46038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46038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46038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46038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46038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46038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23772-2025</t>
        </is>
      </c>
      <c r="B42" s="1" t="n">
        <v>45793.48637731482</v>
      </c>
      <c r="C42" s="1" t="n">
        <v>46038</v>
      </c>
      <c r="D42" t="inlineStr">
        <is>
          <t>STOCKHOLMS LÄN</t>
        </is>
      </c>
      <c r="E42" t="inlineStr">
        <is>
          <t>SÖDERTÄLJE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HYPERLINK("https://klasma.github.io/Logging_0181/artfynd/A 23772-2025 artfynd.xlsx", "A 23772-2025")</f>
        <v/>
      </c>
      <c r="T42">
        <f>HYPERLINK("https://klasma.github.io/Logging_0181/kartor/A 23772-2025 karta.png", "A 23772-2025")</f>
        <v/>
      </c>
      <c r="V42">
        <f>HYPERLINK("https://klasma.github.io/Logging_0181/klagomål/A 23772-2025 FSC-klagomål.docx", "A 23772-2025")</f>
        <v/>
      </c>
      <c r="W42">
        <f>HYPERLINK("https://klasma.github.io/Logging_0181/klagomålsmail/A 23772-2025 FSC-klagomål mail.docx", "A 23772-2025")</f>
        <v/>
      </c>
      <c r="X42">
        <f>HYPERLINK("https://klasma.github.io/Logging_0181/tillsyn/A 23772-2025 tillsynsbegäran.docx", "A 23772-2025")</f>
        <v/>
      </c>
      <c r="Y42">
        <f>HYPERLINK("https://klasma.github.io/Logging_0181/tillsynsmail/A 23772-2025 tillsynsbegäran mail.docx", "A 23772-2025")</f>
        <v/>
      </c>
      <c r="Z42">
        <f>HYPERLINK("https://klasma.github.io/Logging_0181/fåglar/A 23772-2025 prioriterade fågelarter.docx", "A 23772-2025")</f>
        <v/>
      </c>
    </row>
    <row r="43" ht="15" customHeight="1">
      <c r="A43" t="inlineStr">
        <is>
          <t>A 36505-2025</t>
        </is>
      </c>
      <c r="B43" s="1" t="n">
        <v>45869.57192129629</v>
      </c>
      <c r="C43" s="1" t="n">
        <v>46038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HYPERLINK("https://klasma.github.io/Logging_0181/artfynd/A 36505-2025 artfynd.xlsx", "A 36505-2025")</f>
        <v/>
      </c>
      <c r="T43">
        <f>HYPERLINK("https://klasma.github.io/Logging_0181/kartor/A 36505-2025 karta.png", "A 36505-2025")</f>
        <v/>
      </c>
      <c r="V43">
        <f>HYPERLINK("https://klasma.github.io/Logging_0181/klagomål/A 36505-2025 FSC-klagomål.docx", "A 36505-2025")</f>
        <v/>
      </c>
      <c r="W43">
        <f>HYPERLINK("https://klasma.github.io/Logging_0181/klagomålsmail/A 36505-2025 FSC-klagomål mail.docx", "A 36505-2025")</f>
        <v/>
      </c>
      <c r="X43">
        <f>HYPERLINK("https://klasma.github.io/Logging_0181/tillsyn/A 36505-2025 tillsynsbegäran.docx", "A 36505-2025")</f>
        <v/>
      </c>
      <c r="Y43">
        <f>HYPERLINK("https://klasma.github.io/Logging_0181/tillsynsmail/A 36505-2025 tillsynsbegäran mail.docx", "A 36505-2025")</f>
        <v/>
      </c>
    </row>
    <row r="44" ht="15" customHeight="1">
      <c r="A44" t="inlineStr">
        <is>
          <t>A 11361-2021</t>
        </is>
      </c>
      <c r="B44" s="1" t="n">
        <v>44263</v>
      </c>
      <c r="C44" s="1" t="n">
        <v>46038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11126-2021</t>
        </is>
      </c>
      <c r="B45" s="1" t="n">
        <v>44260</v>
      </c>
      <c r="C45" s="1" t="n">
        <v>46038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46038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46038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46038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46038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46038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46038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46038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46038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46038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46038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46038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46038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46038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11360-2021</t>
        </is>
      </c>
      <c r="B60" s="1" t="n">
        <v>44263</v>
      </c>
      <c r="C60" s="1" t="n">
        <v>46038</v>
      </c>
      <c r="D60" t="inlineStr">
        <is>
          <t>STOCKHOLMS LÄN</t>
        </is>
      </c>
      <c r="E60" t="inlineStr">
        <is>
          <t>SÖDERTÄLJE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46038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46038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46038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46038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46038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46038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46038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46038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46038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46038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46038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28981-2023</t>
        </is>
      </c>
      <c r="B72" s="1" t="n">
        <v>45104</v>
      </c>
      <c r="C72" s="1" t="n">
        <v>46038</v>
      </c>
      <c r="D72" t="inlineStr">
        <is>
          <t>STOCKHOLMS LÄN</t>
        </is>
      </c>
      <c r="E72" t="inlineStr">
        <is>
          <t>SÖDERTÄLJE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46038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46038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4443-2023</t>
        </is>
      </c>
      <c r="B75" s="1" t="n">
        <v>44956.45393518519</v>
      </c>
      <c r="C75" s="1" t="n">
        <v>46038</v>
      </c>
      <c r="D75" t="inlineStr">
        <is>
          <t>STOCKHOLMS LÄN</t>
        </is>
      </c>
      <c r="E75" t="inlineStr">
        <is>
          <t>SÖDERTÄLJE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47714-2023</t>
        </is>
      </c>
      <c r="B76" s="1" t="n">
        <v>45198</v>
      </c>
      <c r="C76" s="1" t="n">
        <v>46038</v>
      </c>
      <c r="D76" t="inlineStr">
        <is>
          <t>STOCKHOLMS LÄN</t>
        </is>
      </c>
      <c r="E76" t="inlineStr">
        <is>
          <t>SÖDERTÄLJE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16615-2024</t>
        </is>
      </c>
      <c r="B77" s="1" t="n">
        <v>45408</v>
      </c>
      <c r="C77" s="1" t="n">
        <v>46038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46038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32044-2023</t>
        </is>
      </c>
      <c r="B79" s="1" t="n">
        <v>45119</v>
      </c>
      <c r="C79" s="1" t="n">
        <v>46038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55941-2023</t>
        </is>
      </c>
      <c r="B80" s="1" t="n">
        <v>45240</v>
      </c>
      <c r="C80" s="1" t="n">
        <v>46038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52101-2022</t>
        </is>
      </c>
      <c r="B81" s="1" t="n">
        <v>44873</v>
      </c>
      <c r="C81" s="1" t="n">
        <v>46038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28982-2024</t>
        </is>
      </c>
      <c r="B82" s="1" t="n">
        <v>45481.47568287037</v>
      </c>
      <c r="C82" s="1" t="n">
        <v>46038</v>
      </c>
      <c r="D82" t="inlineStr">
        <is>
          <t>STOCKHOLMS LÄN</t>
        </is>
      </c>
      <c r="E82" t="inlineStr">
        <is>
          <t>SÖDERTÄLJE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42133-2023</t>
        </is>
      </c>
      <c r="B83" s="1" t="n">
        <v>45177.83136574074</v>
      </c>
      <c r="C83" s="1" t="n">
        <v>46038</v>
      </c>
      <c r="D83" t="inlineStr">
        <is>
          <t>STOCKHOLMS LÄN</t>
        </is>
      </c>
      <c r="E83" t="inlineStr">
        <is>
          <t>SÖDERTÄLJE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37844-2022</t>
        </is>
      </c>
      <c r="B84" s="1" t="n">
        <v>44810</v>
      </c>
      <c r="C84" s="1" t="n">
        <v>46038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3108-2024</t>
        </is>
      </c>
      <c r="B85" s="1" t="n">
        <v>45316</v>
      </c>
      <c r="C85" s="1" t="n">
        <v>46038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42337-2024</t>
        </is>
      </c>
      <c r="B86" s="1" t="n">
        <v>45562</v>
      </c>
      <c r="C86" s="1" t="n">
        <v>46038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10280-2025</t>
        </is>
      </c>
      <c r="B87" s="1" t="n">
        <v>45720.40354166667</v>
      </c>
      <c r="C87" s="1" t="n">
        <v>46038</v>
      </c>
      <c r="D87" t="inlineStr">
        <is>
          <t>STOCKHOLMS LÄN</t>
        </is>
      </c>
      <c r="E87" t="inlineStr">
        <is>
          <t>SÖDERTÄLJE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46038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18592-2023</t>
        </is>
      </c>
      <c r="B89" s="1" t="n">
        <v>45043</v>
      </c>
      <c r="C89" s="1" t="n">
        <v>46038</v>
      </c>
      <c r="D89" t="inlineStr">
        <is>
          <t>STOCKHOLMS LÄN</t>
        </is>
      </c>
      <c r="E89" t="inlineStr">
        <is>
          <t>SÖDERTÄLJE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1381-2023</t>
        </is>
      </c>
      <c r="B90" s="1" t="n">
        <v>44936.68457175926</v>
      </c>
      <c r="C90" s="1" t="n">
        <v>46038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92-2024</t>
        </is>
      </c>
      <c r="B91" s="1" t="n">
        <v>45293</v>
      </c>
      <c r="C91" s="1" t="n">
        <v>46038</v>
      </c>
      <c r="D91" t="inlineStr">
        <is>
          <t>STOCKHOLMS LÄN</t>
        </is>
      </c>
      <c r="E91" t="inlineStr">
        <is>
          <t>SÖDERTÄLJE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56354-2023</t>
        </is>
      </c>
      <c r="B92" s="1" t="n">
        <v>45243</v>
      </c>
      <c r="C92" s="1" t="n">
        <v>46038</v>
      </c>
      <c r="D92" t="inlineStr">
        <is>
          <t>STOCKHOLMS LÄN</t>
        </is>
      </c>
      <c r="E92" t="inlineStr">
        <is>
          <t>SÖDERTÄLJE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12907-2024</t>
        </is>
      </c>
      <c r="B93" s="1" t="n">
        <v>45385</v>
      </c>
      <c r="C93" s="1" t="n">
        <v>46038</v>
      </c>
      <c r="D93" t="inlineStr">
        <is>
          <t>STOCKHOLMS LÄN</t>
        </is>
      </c>
      <c r="E93" t="inlineStr">
        <is>
          <t>SÖDERTÄLJE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26909-2024</t>
        </is>
      </c>
      <c r="B94" s="1" t="n">
        <v>45470</v>
      </c>
      <c r="C94" s="1" t="n">
        <v>46038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46038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28502-2023</t>
        </is>
      </c>
      <c r="B96" s="1" t="n">
        <v>45103</v>
      </c>
      <c r="C96" s="1" t="n">
        <v>46038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50059-2021</t>
        </is>
      </c>
      <c r="B97" s="1" t="n">
        <v>44455</v>
      </c>
      <c r="C97" s="1" t="n">
        <v>46038</v>
      </c>
      <c r="D97" t="inlineStr">
        <is>
          <t>STOCKHOLMS LÄN</t>
        </is>
      </c>
      <c r="E97" t="inlineStr">
        <is>
          <t>SÖDERTÄLJE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9562-2025</t>
        </is>
      </c>
      <c r="B98" s="1" t="n">
        <v>45715.61215277778</v>
      </c>
      <c r="C98" s="1" t="n">
        <v>46038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8611-2023</t>
        </is>
      </c>
      <c r="B99" s="1" t="n">
        <v>44977</v>
      </c>
      <c r="C99" s="1" t="n">
        <v>46038</v>
      </c>
      <c r="D99" t="inlineStr">
        <is>
          <t>STOCKHOLMS LÄN</t>
        </is>
      </c>
      <c r="E99" t="inlineStr">
        <is>
          <t>SÖDERTÄLJE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31212-2024</t>
        </is>
      </c>
      <c r="B100" s="1" t="n">
        <v>45503</v>
      </c>
      <c r="C100" s="1" t="n">
        <v>46038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58140-2023</t>
        </is>
      </c>
      <c r="B101" s="1" t="n">
        <v>45250</v>
      </c>
      <c r="C101" s="1" t="n">
        <v>46038</v>
      </c>
      <c r="D101" t="inlineStr">
        <is>
          <t>STOCKHOLMS LÄN</t>
        </is>
      </c>
      <c r="E101" t="inlineStr">
        <is>
          <t>SÖDERTÄLJE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51087-2023</t>
        </is>
      </c>
      <c r="B102" s="1" t="n">
        <v>45218.73296296296</v>
      </c>
      <c r="C102" s="1" t="n">
        <v>46038</v>
      </c>
      <c r="D102" t="inlineStr">
        <is>
          <t>STOCKHOLMS LÄN</t>
        </is>
      </c>
      <c r="E102" t="inlineStr">
        <is>
          <t>SÖDERTÄLJE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314-2022</t>
        </is>
      </c>
      <c r="B103" s="1" t="n">
        <v>44564</v>
      </c>
      <c r="C103" s="1" t="n">
        <v>46038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11319-2024</t>
        </is>
      </c>
      <c r="B104" s="1" t="n">
        <v>45371.91613425926</v>
      </c>
      <c r="C104" s="1" t="n">
        <v>46038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487-2024</t>
        </is>
      </c>
      <c r="B105" s="1" t="n">
        <v>45298.85216435185</v>
      </c>
      <c r="C105" s="1" t="n">
        <v>46038</v>
      </c>
      <c r="D105" t="inlineStr">
        <is>
          <t>STOCKHOLMS LÄN</t>
        </is>
      </c>
      <c r="E105" t="inlineStr">
        <is>
          <t>SÖDERTÄLJE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46671-2021</t>
        </is>
      </c>
      <c r="B106" s="1" t="n">
        <v>44445</v>
      </c>
      <c r="C106" s="1" t="n">
        <v>46038</v>
      </c>
      <c r="D106" t="inlineStr">
        <is>
          <t>STOCKHOLMS LÄN</t>
        </is>
      </c>
      <c r="E106" t="inlineStr">
        <is>
          <t>SÖDERTÄLJE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954-2023</t>
        </is>
      </c>
      <c r="B107" s="1" t="n">
        <v>44934.7921875</v>
      </c>
      <c r="C107" s="1" t="n">
        <v>46038</v>
      </c>
      <c r="D107" t="inlineStr">
        <is>
          <t>STOCKHOLMS LÄN</t>
        </is>
      </c>
      <c r="E107" t="inlineStr">
        <is>
          <t>SÖDERTÄLJE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35200-2023</t>
        </is>
      </c>
      <c r="B108" s="1" t="n">
        <v>45145</v>
      </c>
      <c r="C108" s="1" t="n">
        <v>46038</v>
      </c>
      <c r="D108" t="inlineStr">
        <is>
          <t>STOCKHOLMS LÄN</t>
        </is>
      </c>
      <c r="E108" t="inlineStr">
        <is>
          <t>SÖDERTÄLJE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57010-2024</t>
        </is>
      </c>
      <c r="B109" s="1" t="n">
        <v>45628</v>
      </c>
      <c r="C109" s="1" t="n">
        <v>46038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Kyrkan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56349-2023</t>
        </is>
      </c>
      <c r="B110" s="1" t="n">
        <v>45243</v>
      </c>
      <c r="C110" s="1" t="n">
        <v>46038</v>
      </c>
      <c r="D110" t="inlineStr">
        <is>
          <t>STOCKHOLMS LÄN</t>
        </is>
      </c>
      <c r="E110" t="inlineStr">
        <is>
          <t>SÖDERTÄLJE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41111-2023</t>
        </is>
      </c>
      <c r="B111" s="1" t="n">
        <v>45173.74025462963</v>
      </c>
      <c r="C111" s="1" t="n">
        <v>46038</v>
      </c>
      <c r="D111" t="inlineStr">
        <is>
          <t>STOCKHOLMS LÄN</t>
        </is>
      </c>
      <c r="E111" t="inlineStr">
        <is>
          <t>SÖDERTÄLJE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41115-2023</t>
        </is>
      </c>
      <c r="B112" s="1" t="n">
        <v>45173</v>
      </c>
      <c r="C112" s="1" t="n">
        <v>46038</v>
      </c>
      <c r="D112" t="inlineStr">
        <is>
          <t>STOCKHOLMS LÄN</t>
        </is>
      </c>
      <c r="E112" t="inlineStr">
        <is>
          <t>SÖDERTÄLJE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3382-2024</t>
        </is>
      </c>
      <c r="B113" s="1" t="n">
        <v>45317</v>
      </c>
      <c r="C113" s="1" t="n">
        <v>46038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27969-2022</t>
        </is>
      </c>
      <c r="B114" s="1" t="n">
        <v>44744</v>
      </c>
      <c r="C114" s="1" t="n">
        <v>46038</v>
      </c>
      <c r="D114" t="inlineStr">
        <is>
          <t>STOCKHOLMS LÄN</t>
        </is>
      </c>
      <c r="E114" t="inlineStr">
        <is>
          <t>SÖDERTÄLJE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47576-2023</t>
        </is>
      </c>
      <c r="B115" s="1" t="n">
        <v>45197</v>
      </c>
      <c r="C115" s="1" t="n">
        <v>46038</v>
      </c>
      <c r="D115" t="inlineStr">
        <is>
          <t>STOCKHOLMS LÄN</t>
        </is>
      </c>
      <c r="E115" t="inlineStr">
        <is>
          <t>SÖDERTÄLJE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34449-2021</t>
        </is>
      </c>
      <c r="B116" s="1" t="n">
        <v>44381.63587962963</v>
      </c>
      <c r="C116" s="1" t="n">
        <v>46038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35145-2023</t>
        </is>
      </c>
      <c r="B117" s="1" t="n">
        <v>45145</v>
      </c>
      <c r="C117" s="1" t="n">
        <v>46038</v>
      </c>
      <c r="D117" t="inlineStr">
        <is>
          <t>STOCKHOLMS LÄN</t>
        </is>
      </c>
      <c r="E117" t="inlineStr">
        <is>
          <t>SÖDERTÄLJE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35906-2022</t>
        </is>
      </c>
      <c r="B118" s="1" t="n">
        <v>44802</v>
      </c>
      <c r="C118" s="1" t="n">
        <v>46038</v>
      </c>
      <c r="D118" t="inlineStr">
        <is>
          <t>STOCKHOLMS LÄN</t>
        </is>
      </c>
      <c r="E118" t="inlineStr">
        <is>
          <t>SÖDERTÄLJE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34450-2021</t>
        </is>
      </c>
      <c r="B119" s="1" t="n">
        <v>44381</v>
      </c>
      <c r="C119" s="1" t="n">
        <v>46038</v>
      </c>
      <c r="D119" t="inlineStr">
        <is>
          <t>STOCKHOLMS LÄN</t>
        </is>
      </c>
      <c r="E119" t="inlineStr">
        <is>
          <t>SÖDERTÄLJE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52815-2023</t>
        </is>
      </c>
      <c r="B120" s="1" t="n">
        <v>45226</v>
      </c>
      <c r="C120" s="1" t="n">
        <v>46038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41702-2025</t>
        </is>
      </c>
      <c r="B121" s="1" t="n">
        <v>45902.41623842593</v>
      </c>
      <c r="C121" s="1" t="n">
        <v>46038</v>
      </c>
      <c r="D121" t="inlineStr">
        <is>
          <t>STOCKHOLMS LÄN</t>
        </is>
      </c>
      <c r="E121" t="inlineStr">
        <is>
          <t>SÖDERTÄLJE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60635-2024</t>
        </is>
      </c>
      <c r="B122" s="1" t="n">
        <v>45644.41744212963</v>
      </c>
      <c r="C122" s="1" t="n">
        <v>46038</v>
      </c>
      <c r="D122" t="inlineStr">
        <is>
          <t>STOCKHOLMS LÄN</t>
        </is>
      </c>
      <c r="E122" t="inlineStr">
        <is>
          <t>SÖDERTÄLJE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10263-2025</t>
        </is>
      </c>
      <c r="B123" s="1" t="n">
        <v>45720.38165509259</v>
      </c>
      <c r="C123" s="1" t="n">
        <v>46038</v>
      </c>
      <c r="D123" t="inlineStr">
        <is>
          <t>STOCKHOLMS LÄN</t>
        </is>
      </c>
      <c r="E123" t="inlineStr">
        <is>
          <t>SÖDERTÄLJE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10277-2025</t>
        </is>
      </c>
      <c r="B124" s="1" t="n">
        <v>45720.39836805555</v>
      </c>
      <c r="C124" s="1" t="n">
        <v>46038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62311-2023</t>
        </is>
      </c>
      <c r="B125" s="1" t="n">
        <v>45266</v>
      </c>
      <c r="C125" s="1" t="n">
        <v>46038</v>
      </c>
      <c r="D125" t="inlineStr">
        <is>
          <t>STOCKHOLMS LÄN</t>
        </is>
      </c>
      <c r="E125" t="inlineStr">
        <is>
          <t>SÖDERTÄLJE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25706-2023</t>
        </is>
      </c>
      <c r="B126" s="1" t="n">
        <v>45090</v>
      </c>
      <c r="C126" s="1" t="n">
        <v>46038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22-2024</t>
        </is>
      </c>
      <c r="B127" s="1" t="n">
        <v>45293.40865740741</v>
      </c>
      <c r="C127" s="1" t="n">
        <v>46038</v>
      </c>
      <c r="D127" t="inlineStr">
        <is>
          <t>STOCKHOLMS LÄN</t>
        </is>
      </c>
      <c r="E127" t="inlineStr">
        <is>
          <t>SÖDERTÄLJE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95-2024</t>
        </is>
      </c>
      <c r="B128" s="1" t="n">
        <v>45293</v>
      </c>
      <c r="C128" s="1" t="n">
        <v>46038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48342-2025</t>
        </is>
      </c>
      <c r="B129" s="1" t="n">
        <v>45933</v>
      </c>
      <c r="C129" s="1" t="n">
        <v>46038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48046-2025</t>
        </is>
      </c>
      <c r="B130" s="1" t="n">
        <v>45932.67148148148</v>
      </c>
      <c r="C130" s="1" t="n">
        <v>46038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49956-2022</t>
        </is>
      </c>
      <c r="B131" s="1" t="n">
        <v>44865.37130787037</v>
      </c>
      <c r="C131" s="1" t="n">
        <v>46038</v>
      </c>
      <c r="D131" t="inlineStr">
        <is>
          <t>STOCKHOLMS LÄN</t>
        </is>
      </c>
      <c r="E131" t="inlineStr">
        <is>
          <t>SÖDERTÄLJE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6157-2025</t>
        </is>
      </c>
      <c r="B132" s="1" t="n">
        <v>45698.40923611111</v>
      </c>
      <c r="C132" s="1" t="n">
        <v>46038</v>
      </c>
      <c r="D132" t="inlineStr">
        <is>
          <t>STOCKHOLMS LÄN</t>
        </is>
      </c>
      <c r="E132" t="inlineStr">
        <is>
          <t>SÖDERTÄLJE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11343-2025</t>
        </is>
      </c>
      <c r="B133" s="1" t="n">
        <v>45726.49932870371</v>
      </c>
      <c r="C133" s="1" t="n">
        <v>46038</v>
      </c>
      <c r="D133" t="inlineStr">
        <is>
          <t>STOCKHOLMS LÄN</t>
        </is>
      </c>
      <c r="E133" t="inlineStr">
        <is>
          <t>SÖDERTÄLJE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54596-2024</t>
        </is>
      </c>
      <c r="B134" s="1" t="n">
        <v>45617.6762037037</v>
      </c>
      <c r="C134" s="1" t="n">
        <v>46038</v>
      </c>
      <c r="D134" t="inlineStr">
        <is>
          <t>STOCKHOLMS LÄN</t>
        </is>
      </c>
      <c r="E134" t="inlineStr">
        <is>
          <t>SÖDERTÄLJE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16724-2022</t>
        </is>
      </c>
      <c r="B135" s="1" t="n">
        <v>44673</v>
      </c>
      <c r="C135" s="1" t="n">
        <v>46038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Övriga statliga verk och myndigheter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45145-2022</t>
        </is>
      </c>
      <c r="B136" s="1" t="n">
        <v>44844</v>
      </c>
      <c r="C136" s="1" t="n">
        <v>46038</v>
      </c>
      <c r="D136" t="inlineStr">
        <is>
          <t>STOCKHOLMS LÄN</t>
        </is>
      </c>
      <c r="E136" t="inlineStr">
        <is>
          <t>SÖDERTÄLJE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51082-2024</t>
        </is>
      </c>
      <c r="B137" s="1" t="n">
        <v>45603.46126157408</v>
      </c>
      <c r="C137" s="1" t="n">
        <v>46038</v>
      </c>
      <c r="D137" t="inlineStr">
        <is>
          <t>STOCKHOLMS LÄN</t>
        </is>
      </c>
      <c r="E137" t="inlineStr">
        <is>
          <t>SÖDERTÄLJE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42339-2024</t>
        </is>
      </c>
      <c r="B138" s="1" t="n">
        <v>45562</v>
      </c>
      <c r="C138" s="1" t="n">
        <v>46038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51026-2024</t>
        </is>
      </c>
      <c r="B139" s="1" t="n">
        <v>45603.4181712963</v>
      </c>
      <c r="C139" s="1" t="n">
        <v>46038</v>
      </c>
      <c r="D139" t="inlineStr">
        <is>
          <t>STOCKHOLMS LÄN</t>
        </is>
      </c>
      <c r="E139" t="inlineStr">
        <is>
          <t>SÖDERTÄLJE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48820-2022</t>
        </is>
      </c>
      <c r="B140" s="1" t="n">
        <v>44859</v>
      </c>
      <c r="C140" s="1" t="n">
        <v>46038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34193-2024</t>
        </is>
      </c>
      <c r="B141" s="1" t="n">
        <v>45524.46203703704</v>
      </c>
      <c r="C141" s="1" t="n">
        <v>46038</v>
      </c>
      <c r="D141" t="inlineStr">
        <is>
          <t>STOCKHOLMS LÄN</t>
        </is>
      </c>
      <c r="E141" t="inlineStr">
        <is>
          <t>SÖDERTÄLJE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26812-2022</t>
        </is>
      </c>
      <c r="B142" s="1" t="n">
        <v>44740</v>
      </c>
      <c r="C142" s="1" t="n">
        <v>46038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62320-2023</t>
        </is>
      </c>
      <c r="B143" s="1" t="n">
        <v>45267</v>
      </c>
      <c r="C143" s="1" t="n">
        <v>46038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61735-2025</t>
        </is>
      </c>
      <c r="B144" s="1" t="n">
        <v>46002.594375</v>
      </c>
      <c r="C144" s="1" t="n">
        <v>46038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46038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8323-2025</t>
        </is>
      </c>
      <c r="B146" s="1" t="n">
        <v>45708.6322337963</v>
      </c>
      <c r="C146" s="1" t="n">
        <v>46038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62047-2025</t>
        </is>
      </c>
      <c r="B147" s="1" t="n">
        <v>46006.30792824074</v>
      </c>
      <c r="C147" s="1" t="n">
        <v>46038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62049-2025</t>
        </is>
      </c>
      <c r="B148" s="1" t="n">
        <v>46006.3159837963</v>
      </c>
      <c r="C148" s="1" t="n">
        <v>46038</v>
      </c>
      <c r="D148" t="inlineStr">
        <is>
          <t>STOCKHOLMS LÄN</t>
        </is>
      </c>
      <c r="E148" t="inlineStr">
        <is>
          <t>SÖDERTÄLJE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6886-2022</t>
        </is>
      </c>
      <c r="B149" s="1" t="n">
        <v>44602</v>
      </c>
      <c r="C149" s="1" t="n">
        <v>46038</v>
      </c>
      <c r="D149" t="inlineStr">
        <is>
          <t>STOCKHOLMS LÄN</t>
        </is>
      </c>
      <c r="E149" t="inlineStr">
        <is>
          <t>SÖDERTÄLJE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54448-2025</t>
        </is>
      </c>
      <c r="B150" s="1" t="n">
        <v>45965</v>
      </c>
      <c r="C150" s="1" t="n">
        <v>46038</v>
      </c>
      <c r="D150" t="inlineStr">
        <is>
          <t>STOCKHOLMS LÄN</t>
        </is>
      </c>
      <c r="E150" t="inlineStr">
        <is>
          <t>SÖDERTÄLJE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55532-2025</t>
        </is>
      </c>
      <c r="B151" s="1" t="n">
        <v>45971.62462962963</v>
      </c>
      <c r="C151" s="1" t="n">
        <v>46038</v>
      </c>
      <c r="D151" t="inlineStr">
        <is>
          <t>STOCKHOLMS LÄN</t>
        </is>
      </c>
      <c r="E151" t="inlineStr">
        <is>
          <t>SÖDERTÄLJE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27771-2021</t>
        </is>
      </c>
      <c r="B152" s="1" t="n">
        <v>44354</v>
      </c>
      <c r="C152" s="1" t="n">
        <v>46038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1016-2022</t>
        </is>
      </c>
      <c r="B153" s="1" t="n">
        <v>44571</v>
      </c>
      <c r="C153" s="1" t="n">
        <v>46038</v>
      </c>
      <c r="D153" t="inlineStr">
        <is>
          <t>STOCKHOLMS LÄN</t>
        </is>
      </c>
      <c r="E153" t="inlineStr">
        <is>
          <t>SÖDERTÄLJE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8320-2025</t>
        </is>
      </c>
      <c r="B154" s="1" t="n">
        <v>45708.62876157407</v>
      </c>
      <c r="C154" s="1" t="n">
        <v>46038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35942-2022</t>
        </is>
      </c>
      <c r="B155" s="1" t="n">
        <v>44802</v>
      </c>
      <c r="C155" s="1" t="n">
        <v>46038</v>
      </c>
      <c r="D155" t="inlineStr">
        <is>
          <t>STOCKHOLMS LÄN</t>
        </is>
      </c>
      <c r="E155" t="inlineStr">
        <is>
          <t>SÖDERTÄLJE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3383-2024</t>
        </is>
      </c>
      <c r="B156" s="1" t="n">
        <v>45317</v>
      </c>
      <c r="C156" s="1" t="n">
        <v>46038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46038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37842-2022</t>
        </is>
      </c>
      <c r="B158" s="1" t="n">
        <v>44810</v>
      </c>
      <c r="C158" s="1" t="n">
        <v>46038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44544.76424768518</v>
      </c>
      <c r="C159" s="1" t="n">
        <v>46038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49136-2021</t>
        </is>
      </c>
      <c r="B160" s="1" t="n">
        <v>44453.91797453703</v>
      </c>
      <c r="C160" s="1" t="n">
        <v>46038</v>
      </c>
      <c r="D160" t="inlineStr">
        <is>
          <t>STOCKHOLMS LÄN</t>
        </is>
      </c>
      <c r="E160" t="inlineStr">
        <is>
          <t>SÖDERTÄLJE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45674-2021</t>
        </is>
      </c>
      <c r="B161" s="1" t="n">
        <v>44441</v>
      </c>
      <c r="C161" s="1" t="n">
        <v>46038</v>
      </c>
      <c r="D161" t="inlineStr">
        <is>
          <t>STOCKHOLMS LÄN</t>
        </is>
      </c>
      <c r="E161" t="inlineStr">
        <is>
          <t>SÖDERTÄLJE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20530-2024</t>
        </is>
      </c>
      <c r="B162" s="1" t="n">
        <v>45435</v>
      </c>
      <c r="C162" s="1" t="n">
        <v>46038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35918-2022</t>
        </is>
      </c>
      <c r="B163" s="1" t="n">
        <v>44802</v>
      </c>
      <c r="C163" s="1" t="n">
        <v>46038</v>
      </c>
      <c r="D163" t="inlineStr">
        <is>
          <t>STOCKHOLMS LÄN</t>
        </is>
      </c>
      <c r="E163" t="inlineStr">
        <is>
          <t>SÖDERTÄLJE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8316-2025</t>
        </is>
      </c>
      <c r="B164" s="1" t="n">
        <v>45708.6225462963</v>
      </c>
      <c r="C164" s="1" t="n">
        <v>46038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55940-2023</t>
        </is>
      </c>
      <c r="B165" s="1" t="n">
        <v>45240.30215277777</v>
      </c>
      <c r="C165" s="1" t="n">
        <v>46038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231-2026</t>
        </is>
      </c>
      <c r="B166" s="1" t="n">
        <v>46027.34201388889</v>
      </c>
      <c r="C166" s="1" t="n">
        <v>46038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233-2026</t>
        </is>
      </c>
      <c r="B167" s="1" t="n">
        <v>46027.34767361111</v>
      </c>
      <c r="C167" s="1" t="n">
        <v>46038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234-2026</t>
        </is>
      </c>
      <c r="B168" s="1" t="n">
        <v>46027.36018518519</v>
      </c>
      <c r="C168" s="1" t="n">
        <v>46038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243-2026</t>
        </is>
      </c>
      <c r="B169" s="1" t="n">
        <v>46027.39109953704</v>
      </c>
      <c r="C169" s="1" t="n">
        <v>46038</v>
      </c>
      <c r="D169" t="inlineStr">
        <is>
          <t>STOCKHOLMS LÄN</t>
        </is>
      </c>
      <c r="E169" t="inlineStr">
        <is>
          <t>SÖDERTÄLJE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60897-2025</t>
        </is>
      </c>
      <c r="B170" s="1" t="n">
        <v>45999.58038194444</v>
      </c>
      <c r="C170" s="1" t="n">
        <v>46038</v>
      </c>
      <c r="D170" t="inlineStr">
        <is>
          <t>STOCKHOLMS LÄN</t>
        </is>
      </c>
      <c r="E170" t="inlineStr">
        <is>
          <t>SÖDERTÄLJE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56596-2023</t>
        </is>
      </c>
      <c r="B171" s="1" t="n">
        <v>45243</v>
      </c>
      <c r="C171" s="1" t="n">
        <v>46038</v>
      </c>
      <c r="D171" t="inlineStr">
        <is>
          <t>STOCKHOLMS LÄN</t>
        </is>
      </c>
      <c r="E171" t="inlineStr">
        <is>
          <t>SÖDERTÄLJE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51931-2023</t>
        </is>
      </c>
      <c r="B172" s="1" t="n">
        <v>45216</v>
      </c>
      <c r="C172" s="1" t="n">
        <v>46038</v>
      </c>
      <c r="D172" t="inlineStr">
        <is>
          <t>STOCKHOLMS LÄN</t>
        </is>
      </c>
      <c r="E172" t="inlineStr">
        <is>
          <t>SÖDERTÄLJE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46038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1150-2026</t>
        </is>
      </c>
      <c r="B174" s="1" t="n">
        <v>46030.98674768519</v>
      </c>
      <c r="C174" s="1" t="n">
        <v>46038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4440-2023</t>
        </is>
      </c>
      <c r="B175" s="1" t="n">
        <v>44956</v>
      </c>
      <c r="C175" s="1" t="n">
        <v>46038</v>
      </c>
      <c r="D175" t="inlineStr">
        <is>
          <t>STOCKHOLMS LÄN</t>
        </is>
      </c>
      <c r="E175" t="inlineStr">
        <is>
          <t>SÖDERTÄLJE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1759-2025</t>
        </is>
      </c>
      <c r="B176" s="1" t="n">
        <v>45671.42385416666</v>
      </c>
      <c r="C176" s="1" t="n">
        <v>46038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1696-2026</t>
        </is>
      </c>
      <c r="B177" s="1" t="n">
        <v>46034.59373842592</v>
      </c>
      <c r="C177" s="1" t="n">
        <v>46038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1715-2026</t>
        </is>
      </c>
      <c r="B178" s="1" t="n">
        <v>46034.60863425926</v>
      </c>
      <c r="C178" s="1" t="n">
        <v>46038</v>
      </c>
      <c r="D178" t="inlineStr">
        <is>
          <t>STOCKHOLMS LÄN</t>
        </is>
      </c>
      <c r="E178" t="inlineStr">
        <is>
          <t>SÖDERTÄLJE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2542-2026</t>
        </is>
      </c>
      <c r="B179" s="1" t="n">
        <v>46037.46063657408</v>
      </c>
      <c r="C179" s="1" t="n">
        <v>46038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2685-2026</t>
        </is>
      </c>
      <c r="B180" s="1" t="n">
        <v>46037.65710648148</v>
      </c>
      <c r="C180" s="1" t="n">
        <v>46038</v>
      </c>
      <c r="D180" t="inlineStr">
        <is>
          <t>STOCKHOLMS LÄN</t>
        </is>
      </c>
      <c r="E180" t="inlineStr">
        <is>
          <t>SÖDERTÄLJE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46038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46038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46038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46038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46038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23367-2024</t>
        </is>
      </c>
      <c r="B186" s="1" t="n">
        <v>45453</v>
      </c>
      <c r="C186" s="1" t="n">
        <v>46038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46038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33892-2022</t>
        </is>
      </c>
      <c r="B188" s="1" t="n">
        <v>44790.60921296296</v>
      </c>
      <c r="C188" s="1" t="n">
        <v>46038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47977-2022</t>
        </is>
      </c>
      <c r="B189" s="1" t="n">
        <v>44855</v>
      </c>
      <c r="C189" s="1" t="n">
        <v>46038</v>
      </c>
      <c r="D189" t="inlineStr">
        <is>
          <t>STOCKHOLMS LÄN</t>
        </is>
      </c>
      <c r="E189" t="inlineStr">
        <is>
          <t>SÖDERTÄLJE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46038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19210-2024</t>
        </is>
      </c>
      <c r="B191" s="1" t="n">
        <v>45428.54665509259</v>
      </c>
      <c r="C191" s="1" t="n">
        <v>46038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51353-2024</t>
        </is>
      </c>
      <c r="B192" s="1" t="n">
        <v>45604.36140046296</v>
      </c>
      <c r="C192" s="1" t="n">
        <v>46038</v>
      </c>
      <c r="D192" t="inlineStr">
        <is>
          <t>STOCKHOLMS LÄN</t>
        </is>
      </c>
      <c r="E192" t="inlineStr">
        <is>
          <t>SÖDERTÄLJE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25414-2025</t>
        </is>
      </c>
      <c r="B193" s="1" t="n">
        <v>45799</v>
      </c>
      <c r="C193" s="1" t="n">
        <v>46038</v>
      </c>
      <c r="D193" t="inlineStr">
        <is>
          <t>STOCKHOLMS LÄN</t>
        </is>
      </c>
      <c r="E193" t="inlineStr">
        <is>
          <t>SÖDERTÄLJE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25396-2025</t>
        </is>
      </c>
      <c r="B194" s="1" t="n">
        <v>45799</v>
      </c>
      <c r="C194" s="1" t="n">
        <v>46038</v>
      </c>
      <c r="D194" t="inlineStr">
        <is>
          <t>STOCKHOLMS LÄN</t>
        </is>
      </c>
      <c r="E194" t="inlineStr">
        <is>
          <t>SÖDERTÄLJE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25412-2025</t>
        </is>
      </c>
      <c r="B195" s="1" t="n">
        <v>45799</v>
      </c>
      <c r="C195" s="1" t="n">
        <v>46038</v>
      </c>
      <c r="D195" t="inlineStr">
        <is>
          <t>STOCKHOLMS LÄN</t>
        </is>
      </c>
      <c r="E195" t="inlineStr">
        <is>
          <t>SÖDERTÄLJE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25415-2025</t>
        </is>
      </c>
      <c r="B196" s="1" t="n">
        <v>45799</v>
      </c>
      <c r="C196" s="1" t="n">
        <v>46038</v>
      </c>
      <c r="D196" t="inlineStr">
        <is>
          <t>STOCKHOLMS LÄN</t>
        </is>
      </c>
      <c r="E196" t="inlineStr">
        <is>
          <t>SÖDERTÄLJE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28346-2025</t>
        </is>
      </c>
      <c r="B197" s="1" t="n">
        <v>45818.70325231482</v>
      </c>
      <c r="C197" s="1" t="n">
        <v>46038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29336-2025</t>
        </is>
      </c>
      <c r="B198" s="1" t="n">
        <v>45824.49658564815</v>
      </c>
      <c r="C198" s="1" t="n">
        <v>46038</v>
      </c>
      <c r="D198" t="inlineStr">
        <is>
          <t>STOCKHOLMS LÄN</t>
        </is>
      </c>
      <c r="E198" t="inlineStr">
        <is>
          <t>SÖDERTÄLJE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29770-2025</t>
        </is>
      </c>
      <c r="B199" s="1" t="n">
        <v>45825.62880787037</v>
      </c>
      <c r="C199" s="1" t="n">
        <v>46038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31086-2025</t>
        </is>
      </c>
      <c r="B200" s="1" t="n">
        <v>45832.59052083334</v>
      </c>
      <c r="C200" s="1" t="n">
        <v>46038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38194-2025</t>
        </is>
      </c>
      <c r="B201" s="1" t="n">
        <v>45882.65921296296</v>
      </c>
      <c r="C201" s="1" t="n">
        <v>46038</v>
      </c>
      <c r="D201" t="inlineStr">
        <is>
          <t>STOCKHOLMS LÄN</t>
        </is>
      </c>
      <c r="E201" t="inlineStr">
        <is>
          <t>SÖDERTÄLJE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2026-01-16T10:57:11Z</dcterms:created>
  <dcterms:modified xmlns:dcterms="http://purl.org/dc/terms/" xmlns:xsi="http://www.w3.org/2001/XMLSchema-instance" xsi:type="dcterms:W3CDTF">2026-01-16T10:57:11Z</dcterms:modified>
</cp:coreProperties>
</file>